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KIMM\1. Project\01. 진행 프로젝트\10. 풍력발전기 메인베어링\03. 연구자료\01. Docs\04. 정리자료\2026년\TRB 최적설계\02. 본 설계\01. 하중데이터\"/>
    </mc:Choice>
  </mc:AlternateContent>
  <xr:revisionPtr revIDLastSave="0" documentId="13_ncr:1_{E4178623-CD8E-419E-8AD0-CA96750FA645}" xr6:coauthVersionLast="36" xr6:coauthVersionMax="47" xr10:uidLastSave="{00000000-0000-0000-0000-000000000000}"/>
  <bookViews>
    <workbookView xWindow="0" yWindow="0" windowWidth="15700" windowHeight="10360" activeTab="3" xr2:uid="{3D30DDC3-562F-4DD7-BF29-1B7C3F7FAA1A}"/>
  </bookViews>
  <sheets>
    <sheet name="Title" sheetId="1" r:id="rId1"/>
    <sheet name="RevisionHistory" sheetId="3" r:id="rId2"/>
    <sheet name="Coordinate" sheetId="4" r:id="rId3"/>
    <sheet name="ExtremeLoad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1" i="5" l="1"/>
  <c r="L21" i="5"/>
</calcChain>
</file>

<file path=xl/sharedStrings.xml><?xml version="1.0" encoding="utf-8"?>
<sst xmlns="http://schemas.openxmlformats.org/spreadsheetml/2006/main" count="99" uniqueCount="60">
  <si>
    <t>Design Loads Envelope</t>
    <phoneticPr fontId="1" type="noConversion"/>
  </si>
  <si>
    <t>Onshore Wind Turbine</t>
    <phoneticPr fontId="1" type="noConversion"/>
  </si>
  <si>
    <t>IEC TC S, K26-150, 160mHH</t>
    <phoneticPr fontId="1" type="noConversion"/>
  </si>
  <si>
    <t xml:space="preserve">- Main Bearing - </t>
    <phoneticPr fontId="1" type="noConversion"/>
  </si>
  <si>
    <t>Date:</t>
    <phoneticPr fontId="1" type="noConversion"/>
  </si>
  <si>
    <t>Prepared:</t>
    <phoneticPr fontId="1" type="noConversion"/>
  </si>
  <si>
    <t>Revision</t>
  </si>
  <si>
    <t>Project:</t>
    <phoneticPr fontId="1" type="noConversion"/>
  </si>
  <si>
    <t>Design status:</t>
    <phoneticPr fontId="1" type="noConversion"/>
  </si>
  <si>
    <t>Document Number:</t>
    <phoneticPr fontId="1" type="noConversion"/>
  </si>
  <si>
    <t>Revision Number:</t>
    <phoneticPr fontId="1" type="noConversion"/>
  </si>
  <si>
    <t>Jeonggi Kim</t>
    <phoneticPr fontId="1" type="noConversion"/>
  </si>
  <si>
    <t>20MW+ 기본설계</t>
    <phoneticPr fontId="1" type="noConversion"/>
  </si>
  <si>
    <t>Predesign, Revision 01</t>
    <phoneticPr fontId="1" type="noConversion"/>
  </si>
  <si>
    <t>WTGS K26MW-150</t>
    <phoneticPr fontId="1" type="noConversion"/>
  </si>
  <si>
    <t>EX.20260701.K26.DE.MainBearing_DesignLoads-A</t>
    <phoneticPr fontId="1" type="noConversion"/>
  </si>
  <si>
    <t>A</t>
  </si>
  <si>
    <t>A</t>
    <phoneticPr fontId="1" type="noConversion"/>
  </si>
  <si>
    <t>Date of Release</t>
  </si>
  <si>
    <t>Modification</t>
  </si>
  <si>
    <t>-</t>
  </si>
  <si>
    <t>First issued.</t>
  </si>
  <si>
    <t>Shaft Stationary Coordinate system</t>
    <phoneticPr fontId="1" type="noConversion"/>
  </si>
  <si>
    <t xml:space="preserve">XN </t>
  </si>
  <si>
    <t xml:space="preserve">ZN </t>
  </si>
  <si>
    <t xml:space="preserve">YN </t>
  </si>
  <si>
    <t>Origin</t>
  </si>
  <si>
    <t xml:space="preserve">Along shaft axis, and pointing towards the tower </t>
  </si>
  <si>
    <t>Perpendicular to XN, in direction of blade 1 axis</t>
  </si>
  <si>
    <t xml:space="preserve">YN Perpendicular to XN and ZN, to give a right-handed co-ordinate system. </t>
  </si>
  <si>
    <t>At point N, intersection of hub and rotor shaft</t>
  </si>
  <si>
    <t>The shaft stationary co-ordinate system is fixed with the rotor shaft (non-rotating system)</t>
  </si>
  <si>
    <t xml:space="preserve"> Mx</t>
  </si>
  <si>
    <t xml:space="preserve"> My</t>
  </si>
  <si>
    <t xml:space="preserve"> Mz</t>
  </si>
  <si>
    <t xml:space="preserve"> Myz</t>
  </si>
  <si>
    <t xml:space="preserve"> Fx</t>
  </si>
  <si>
    <t xml:space="preserve"> Fy</t>
  </si>
  <si>
    <t xml:space="preserve"> Fz</t>
  </si>
  <si>
    <t xml:space="preserve"> Fyz</t>
  </si>
  <si>
    <t>Safety factor</t>
  </si>
  <si>
    <t>Load case</t>
  </si>
  <si>
    <t>kNm</t>
  </si>
  <si>
    <t>kN</t>
  </si>
  <si>
    <t>Max</t>
  </si>
  <si>
    <t>DLC1.3-k-s5</t>
  </si>
  <si>
    <t>Min</t>
  </si>
  <si>
    <t>DLC5.1-c-s09</t>
  </si>
  <si>
    <t>DLC2.2.4-b-s09</t>
  </si>
  <si>
    <t>DLC2.2.4-b-s11</t>
  </si>
  <si>
    <t>DLC2.2.4-b-s07</t>
  </si>
  <si>
    <t>DLC2.2.4-b-s04</t>
  </si>
  <si>
    <t>DLC1.5-d-nv-y1-r1</t>
  </si>
  <si>
    <t>DLC2.1.1-b-s06</t>
  </si>
  <si>
    <t>DLC2.3-b-y3-g1-r2</t>
  </si>
  <si>
    <t>DLC6.2-y10-s6</t>
  </si>
  <si>
    <t>DLC6.2-y04-s3</t>
  </si>
  <si>
    <t>DLC6.2-y01-s6</t>
  </si>
  <si>
    <t>DLC1.3-k-s4</t>
  </si>
  <si>
    <r>
      <t xml:space="preserve">260703 Fri
&lt;확인사항&gt;
</t>
    </r>
    <r>
      <rPr>
        <sz val="11"/>
        <color theme="1"/>
        <rFont val="맑은 고딕"/>
        <family val="3"/>
        <charset val="129"/>
        <scheme val="minor"/>
      </rPr>
      <t xml:space="preserve">- 두산 3MW 레포트와 본 자료를 검토했을 때, 극한 하중은 전체 로드케이스 중 각 힘/모멘트의 최대값이 나오는 17개의 케이스로 선정한다는 것을 확인
</t>
    </r>
    <r>
      <rPr>
        <b/>
        <sz val="11"/>
        <color theme="1"/>
        <rFont val="맑은 고딕"/>
        <family val="3"/>
        <charset val="129"/>
        <scheme val="minor"/>
      </rPr>
      <t xml:space="preserve">&lt;문의사항&gt;
</t>
    </r>
    <r>
      <rPr>
        <sz val="11"/>
        <color rgb="FF0000FF"/>
        <rFont val="맑은 고딕"/>
        <family val="3"/>
        <charset val="129"/>
        <scheme val="minor"/>
      </rPr>
      <t>- 하중 적용 위치</t>
    </r>
    <r>
      <rPr>
        <sz val="11"/>
        <color theme="1"/>
        <rFont val="맑은 고딕"/>
        <family val="3"/>
        <charset val="129"/>
        <scheme val="minor"/>
      </rPr>
      <t xml:space="preserve">
→ 샤프트 최좌측
</t>
    </r>
    <r>
      <rPr>
        <sz val="11"/>
        <color rgb="FF0000FF"/>
        <rFont val="맑은 고딕"/>
        <family val="3"/>
        <charset val="129"/>
        <scheme val="minor"/>
      </rPr>
      <t xml:space="preserve">- 통합하중 해석 시 증속기 포함 여부
</t>
    </r>
    <r>
      <rPr>
        <sz val="11"/>
        <rFont val="맑은 고딕"/>
        <family val="3"/>
        <charset val="129"/>
        <scheme val="minor"/>
      </rPr>
      <t xml:space="preserve">→ 기어비, 이너시아 반영
</t>
    </r>
    <r>
      <rPr>
        <sz val="11"/>
        <color rgb="FF0000FF"/>
        <rFont val="맑은 고딕"/>
        <family val="3"/>
        <charset val="129"/>
        <scheme val="minor"/>
      </rPr>
      <t xml:space="preserve">
- 증속기 모델 결정 방식
</t>
    </r>
    <r>
      <rPr>
        <sz val="11"/>
        <rFont val="맑은 고딕"/>
        <family val="3"/>
        <charset val="129"/>
        <scheme val="minor"/>
      </rPr>
      <t xml:space="preserve">→ 결정 X, 추후 논의 필요
</t>
    </r>
    <r>
      <rPr>
        <b/>
        <sz val="11"/>
        <color rgb="FF0000FF"/>
        <rFont val="맑은 고딕"/>
        <family val="3"/>
        <charset val="129"/>
        <scheme val="minor"/>
      </rPr>
      <t xml:space="preserve">
-</t>
    </r>
    <r>
      <rPr>
        <sz val="11"/>
        <color rgb="FF0000FF"/>
        <rFont val="맑은 고딕"/>
        <family val="3"/>
        <charset val="129"/>
        <scheme val="minor"/>
      </rPr>
      <t xml:space="preserve"> 현재 모델에서 피로하중 산출 가능?
</t>
    </r>
    <r>
      <rPr>
        <sz val="11"/>
        <rFont val="맑은 고딕"/>
        <family val="3"/>
        <charset val="129"/>
        <scheme val="minor"/>
      </rPr>
      <t>→ 260717까지 LDD형태로 전달 예정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</si>
</sst>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3" fillId="0" borderId="4" xfId="0" applyFont="1" applyBorder="1">
      <alignment vertical="center"/>
    </xf>
    <xf numFmtId="0" fontId="3" fillId="0" borderId="0" xfId="0" applyFont="1">
      <alignment vertical="center"/>
    </xf>
    <xf numFmtId="0" fontId="3" fillId="0" borderId="5" xfId="0" applyFont="1" applyBorder="1">
      <alignment vertical="center"/>
    </xf>
    <xf numFmtId="14" fontId="0" fillId="0" borderId="4" xfId="0" applyNumberFormat="1" applyBorder="1">
      <alignment vertical="center"/>
    </xf>
    <xf numFmtId="14" fontId="0" fillId="0" borderId="0" xfId="0" applyNumberFormat="1">
      <alignment vertical="center"/>
    </xf>
    <xf numFmtId="14" fontId="0" fillId="0" borderId="5" xfId="0" applyNumberFormat="1" applyBorder="1">
      <alignment vertical="center"/>
    </xf>
    <xf numFmtId="0" fontId="0" fillId="0" borderId="0" xfId="0" applyAlignment="1">
      <alignment horizontal="left" vertical="center"/>
    </xf>
    <xf numFmtId="0" fontId="8" fillId="0" borderId="0" xfId="0" applyFont="1">
      <alignment vertical="center"/>
    </xf>
    <xf numFmtId="0" fontId="10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14" fontId="9" fillId="0" borderId="9" xfId="0" applyNumberFormat="1" applyFont="1" applyBorder="1" applyAlignment="1">
      <alignment horizontal="center" vertical="center" wrapText="1"/>
    </xf>
    <xf numFmtId="0" fontId="9" fillId="0" borderId="9" xfId="0" applyFont="1" applyBorder="1" applyAlignment="1">
      <alignment horizontal="justify" vertical="center" wrapText="1"/>
    </xf>
    <xf numFmtId="0" fontId="7" fillId="0" borderId="0" xfId="0" applyFont="1" applyAlignment="1">
      <alignment horizontal="justify" vertical="center" wrapText="1"/>
    </xf>
    <xf numFmtId="0" fontId="0" fillId="0" borderId="0" xfId="0" applyAlignment="1">
      <alignment vertical="top" wrapText="1"/>
    </xf>
    <xf numFmtId="0" fontId="4" fillId="0" borderId="0" xfId="0" applyFont="1">
      <alignment vertical="center"/>
    </xf>
    <xf numFmtId="0" fontId="8" fillId="0" borderId="11" xfId="0" applyFont="1" applyBorder="1">
      <alignment vertical="center"/>
    </xf>
    <xf numFmtId="0" fontId="8" fillId="0" borderId="21" xfId="0" applyFont="1" applyBorder="1">
      <alignment vertical="center"/>
    </xf>
    <xf numFmtId="0" fontId="9" fillId="0" borderId="17" xfId="0" applyFont="1" applyBorder="1">
      <alignment vertical="center"/>
    </xf>
    <xf numFmtId="0" fontId="9" fillId="0" borderId="31" xfId="0" applyFont="1" applyBorder="1">
      <alignment vertical="center"/>
    </xf>
    <xf numFmtId="0" fontId="9" fillId="0" borderId="20" xfId="0" applyFont="1" applyBorder="1">
      <alignment vertical="center"/>
    </xf>
    <xf numFmtId="0" fontId="9" fillId="0" borderId="22" xfId="0" applyFont="1" applyBorder="1">
      <alignment vertical="center"/>
    </xf>
    <xf numFmtId="0" fontId="9" fillId="0" borderId="33" xfId="0" applyFont="1" applyBorder="1">
      <alignment vertical="center"/>
    </xf>
    <xf numFmtId="0" fontId="9" fillId="0" borderId="36" xfId="0" applyFont="1" applyBorder="1">
      <alignment vertical="center"/>
    </xf>
    <xf numFmtId="0" fontId="9" fillId="0" borderId="15" xfId="0" applyFont="1" applyBorder="1">
      <alignment vertical="center"/>
    </xf>
    <xf numFmtId="0" fontId="9" fillId="0" borderId="26" xfId="0" applyFont="1" applyBorder="1">
      <alignment vertical="center"/>
    </xf>
    <xf numFmtId="0" fontId="9" fillId="0" borderId="32" xfId="0" applyFont="1" applyBorder="1">
      <alignment vertical="center"/>
    </xf>
    <xf numFmtId="0" fontId="9" fillId="0" borderId="23" xfId="0" applyFont="1" applyBorder="1">
      <alignment vertical="center"/>
    </xf>
    <xf numFmtId="0" fontId="9" fillId="0" borderId="18" xfId="0" applyFont="1" applyBorder="1">
      <alignment vertical="center"/>
    </xf>
    <xf numFmtId="0" fontId="9" fillId="0" borderId="27" xfId="0" applyFont="1" applyBorder="1">
      <alignment vertical="center"/>
    </xf>
    <xf numFmtId="0" fontId="9" fillId="0" borderId="24" xfId="0" applyFont="1" applyBorder="1">
      <alignment vertical="center"/>
    </xf>
    <xf numFmtId="0" fontId="9" fillId="0" borderId="25" xfId="0" applyFont="1" applyBorder="1">
      <alignment vertical="center"/>
    </xf>
    <xf numFmtId="0" fontId="9" fillId="0" borderId="28" xfId="0" applyFont="1" applyBorder="1">
      <alignment vertical="center"/>
    </xf>
    <xf numFmtId="0" fontId="9" fillId="0" borderId="34" xfId="0" applyFont="1" applyBorder="1">
      <alignment vertical="center"/>
    </xf>
    <xf numFmtId="0" fontId="9" fillId="0" borderId="37" xfId="0" applyFont="1" applyBorder="1">
      <alignment vertical="center"/>
    </xf>
    <xf numFmtId="0" fontId="9" fillId="0" borderId="35" xfId="0" applyFont="1" applyBorder="1">
      <alignment vertical="center"/>
    </xf>
    <xf numFmtId="0" fontId="8" fillId="0" borderId="31" xfId="0" applyFont="1" applyBorder="1">
      <alignment vertical="center"/>
    </xf>
    <xf numFmtId="0" fontId="8" fillId="0" borderId="19" xfId="0" applyFont="1" applyBorder="1">
      <alignment vertical="center"/>
    </xf>
    <xf numFmtId="0" fontId="9" fillId="0" borderId="38" xfId="0" applyFont="1" applyBorder="1">
      <alignment vertical="center"/>
    </xf>
    <xf numFmtId="0" fontId="9" fillId="0" borderId="30" xfId="0" applyFont="1" applyBorder="1">
      <alignment vertical="center"/>
    </xf>
    <xf numFmtId="0" fontId="9" fillId="0" borderId="29" xfId="0" applyFont="1" applyBorder="1">
      <alignment vertical="center"/>
    </xf>
    <xf numFmtId="14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1"/>
    </xf>
    <xf numFmtId="0" fontId="9" fillId="0" borderId="18" xfId="0" applyFont="1" applyBorder="1" applyAlignment="1">
      <alignment horizontal="left" vertical="center" indent="1"/>
    </xf>
    <xf numFmtId="0" fontId="9" fillId="0" borderId="19" xfId="0" applyFont="1" applyBorder="1" applyAlignment="1">
      <alignment horizontal="left" vertical="center" indent="1"/>
    </xf>
    <xf numFmtId="0" fontId="9" fillId="0" borderId="9" xfId="0" applyFont="1" applyBorder="1" applyAlignment="1">
      <alignment horizontal="left" vertical="center" indent="1"/>
    </xf>
    <xf numFmtId="0" fontId="9" fillId="0" borderId="13" xfId="0" applyFont="1" applyBorder="1" applyAlignment="1">
      <alignment horizontal="left" vertical="center" indent="1"/>
    </xf>
    <xf numFmtId="0" fontId="9" fillId="0" borderId="15" xfId="0" applyFont="1" applyBorder="1" applyAlignment="1">
      <alignment horizontal="left" vertical="center" indent="1"/>
    </xf>
    <xf numFmtId="0" fontId="9" fillId="0" borderId="16" xfId="0" applyFont="1" applyBorder="1" applyAlignment="1">
      <alignment horizontal="left" vertical="center" indent="1"/>
    </xf>
    <xf numFmtId="0" fontId="7" fillId="0" borderId="0" xfId="0" applyFont="1" applyAlignment="1">
      <alignment horizontal="left" vertical="center" wrapText="1"/>
    </xf>
    <xf numFmtId="0" fontId="3" fillId="0" borderId="39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32</xdr:row>
      <xdr:rowOff>19051</xdr:rowOff>
    </xdr:from>
    <xdr:to>
      <xdr:col>7</xdr:col>
      <xdr:colOff>581025</xdr:colOff>
      <xdr:row>33</xdr:row>
      <xdr:rowOff>158349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697FB0A5-6116-4776-BE8B-6A4701FF5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7239001"/>
          <a:ext cx="2000250" cy="348848"/>
        </a:xfrm>
        <a:prstGeom prst="rect">
          <a:avLst/>
        </a:prstGeom>
      </xdr:spPr>
    </xdr:pic>
    <xdr:clientData/>
  </xdr:twoCellAnchor>
  <xdr:twoCellAnchor editAs="oneCell">
    <xdr:from>
      <xdr:col>3</xdr:col>
      <xdr:colOff>600075</xdr:colOff>
      <xdr:row>8</xdr:row>
      <xdr:rowOff>295275</xdr:rowOff>
    </xdr:from>
    <xdr:to>
      <xdr:col>9</xdr:col>
      <xdr:colOff>206518</xdr:colOff>
      <xdr:row>24</xdr:row>
      <xdr:rowOff>57150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CE93B31F-4A96-B20E-F070-0D63834A17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502" b="10835"/>
        <a:stretch>
          <a:fillRect/>
        </a:stretch>
      </xdr:blipFill>
      <xdr:spPr>
        <a:xfrm>
          <a:off x="1533525" y="2390775"/>
          <a:ext cx="3883168" cy="3209925"/>
        </a:xfrm>
        <a:prstGeom prst="rect">
          <a:avLst/>
        </a:prstGeom>
      </xdr:spPr>
    </xdr:pic>
    <xdr:clientData/>
  </xdr:twoCellAnchor>
  <xdr:oneCellAnchor>
    <xdr:from>
      <xdr:col>4</xdr:col>
      <xdr:colOff>680197</xdr:colOff>
      <xdr:row>13</xdr:row>
      <xdr:rowOff>5043</xdr:rowOff>
    </xdr:from>
    <xdr:ext cx="2335448" cy="1642373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BA305E8-C908-673B-647F-D4EC75A4CE87}"/>
            </a:ext>
          </a:extLst>
        </xdr:cNvPr>
        <xdr:cNvSpPr txBox="1"/>
      </xdr:nvSpPr>
      <xdr:spPr>
        <a:xfrm>
          <a:off x="2293844" y="3277161"/>
          <a:ext cx="2335448" cy="16423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altLang="ko-KR" sz="1100" b="1"/>
            <a:t>UNISON Co., LTD.</a:t>
          </a:r>
        </a:p>
        <a:p>
          <a:pPr algn="ctr"/>
          <a:r>
            <a:rPr lang="ko-KR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513, Haeansaneop-Ro, Sanam-Myeon</a:t>
          </a:r>
        </a:p>
        <a:p>
          <a:pPr algn="ctr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Sacheon-Si, Gyeongsangnam-Do</a:t>
          </a:r>
        </a:p>
        <a:p>
          <a:pPr algn="ctr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Republic of Korea</a:t>
          </a:r>
        </a:p>
        <a:p>
          <a:pPr algn="ctr"/>
          <a:endParaRPr lang="en-US" altLang="ko-KR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Phone:+82 42 939 0600</a:t>
          </a:r>
          <a:b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Fax:+82 42 939 0608</a:t>
          </a:r>
          <a:b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Email:windenergy@unison.co.kr</a:t>
          </a:r>
          <a:b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Internet:www.unison.co.kr</a:t>
          </a:r>
          <a:endParaRPr lang="ko-KR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4</xdr:col>
      <xdr:colOff>615580</xdr:colOff>
      <xdr:row>9</xdr:row>
      <xdr:rowOff>1314450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D0B7738-2B80-B5BF-216E-B8234307C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09550"/>
          <a:ext cx="3358780" cy="3105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E5BDB-1588-411C-A217-9CEEAE7E593A}">
  <dimension ref="C1:K34"/>
  <sheetViews>
    <sheetView showGridLines="0" zoomScale="85" zoomScaleNormal="85" workbookViewId="0">
      <selection activeCell="R8" sqref="R8"/>
    </sheetView>
  </sheetViews>
  <sheetFormatPr defaultRowHeight="17" x14ac:dyDescent="0.45"/>
  <cols>
    <col min="1" max="2" width="1.58203125" customWidth="1"/>
    <col min="6" max="6" width="11.08203125" bestFit="1" customWidth="1"/>
  </cols>
  <sheetData>
    <row r="1" spans="3:11" ht="15" customHeight="1" thickBot="1" x14ac:dyDescent="0.5"/>
    <row r="2" spans="3:11" x14ac:dyDescent="0.45">
      <c r="C2" s="49"/>
      <c r="D2" s="50"/>
      <c r="E2" s="50"/>
      <c r="F2" s="50"/>
      <c r="G2" s="50"/>
      <c r="H2" s="50"/>
      <c r="I2" s="50"/>
      <c r="J2" s="50"/>
      <c r="K2" s="51"/>
    </row>
    <row r="3" spans="3:11" x14ac:dyDescent="0.45">
      <c r="C3" s="52"/>
      <c r="D3" s="53"/>
      <c r="E3" s="53"/>
      <c r="F3" s="53"/>
      <c r="G3" s="53"/>
      <c r="H3" s="53"/>
      <c r="I3" s="53"/>
      <c r="J3" s="53"/>
      <c r="K3" s="54"/>
    </row>
    <row r="4" spans="3:11" ht="25.5" x14ac:dyDescent="0.45">
      <c r="C4" s="57" t="s">
        <v>14</v>
      </c>
      <c r="D4" s="58"/>
      <c r="E4" s="58"/>
      <c r="F4" s="58"/>
      <c r="G4" s="58"/>
      <c r="H4" s="58"/>
      <c r="I4" s="58"/>
      <c r="J4" s="58"/>
      <c r="K4" s="59"/>
    </row>
    <row r="5" spans="3:11" x14ac:dyDescent="0.45">
      <c r="C5" s="52" t="s">
        <v>1</v>
      </c>
      <c r="D5" s="53"/>
      <c r="E5" s="53"/>
      <c r="F5" s="53"/>
      <c r="G5" s="53"/>
      <c r="H5" s="53"/>
      <c r="I5" s="53"/>
      <c r="J5" s="53"/>
      <c r="K5" s="54"/>
    </row>
    <row r="6" spans="3:11" x14ac:dyDescent="0.45">
      <c r="C6" s="52"/>
      <c r="D6" s="53"/>
      <c r="E6" s="53"/>
      <c r="F6" s="53"/>
      <c r="G6" s="53"/>
      <c r="H6" s="53"/>
      <c r="I6" s="53"/>
      <c r="J6" s="53"/>
      <c r="K6" s="54"/>
    </row>
    <row r="7" spans="3:11" ht="30" x14ac:dyDescent="0.45">
      <c r="C7" s="60" t="s">
        <v>0</v>
      </c>
      <c r="D7" s="61"/>
      <c r="E7" s="61"/>
      <c r="F7" s="61"/>
      <c r="G7" s="61"/>
      <c r="H7" s="61"/>
      <c r="I7" s="61"/>
      <c r="J7" s="61"/>
      <c r="K7" s="62"/>
    </row>
    <row r="8" spans="3:11" ht="25.5" x14ac:dyDescent="0.45">
      <c r="C8" s="63" t="s">
        <v>3</v>
      </c>
      <c r="D8" s="58"/>
      <c r="E8" s="58"/>
      <c r="F8" s="58"/>
      <c r="G8" s="58"/>
      <c r="H8" s="58"/>
      <c r="I8" s="58"/>
      <c r="J8" s="58"/>
      <c r="K8" s="59"/>
    </row>
    <row r="9" spans="3:11" ht="23" x14ac:dyDescent="0.45">
      <c r="C9" s="64" t="s">
        <v>2</v>
      </c>
      <c r="D9" s="65"/>
      <c r="E9" s="65"/>
      <c r="F9" s="65"/>
      <c r="G9" s="65"/>
      <c r="H9" s="65"/>
      <c r="I9" s="65"/>
      <c r="J9" s="65"/>
      <c r="K9" s="66"/>
    </row>
    <row r="10" spans="3:11" x14ac:dyDescent="0.45">
      <c r="C10" s="52"/>
      <c r="D10" s="53"/>
      <c r="E10" s="53"/>
      <c r="F10" s="53"/>
      <c r="G10" s="53"/>
      <c r="H10" s="53"/>
      <c r="I10" s="53"/>
      <c r="J10" s="53"/>
      <c r="K10" s="54"/>
    </row>
    <row r="11" spans="3:11" x14ac:dyDescent="0.45">
      <c r="C11" s="10"/>
      <c r="D11" s="11"/>
      <c r="E11" s="11"/>
      <c r="F11" s="11"/>
      <c r="G11" s="11"/>
      <c r="H11" s="11"/>
      <c r="I11" s="11"/>
      <c r="J11" s="11"/>
      <c r="K11" s="12"/>
    </row>
    <row r="12" spans="3:11" x14ac:dyDescent="0.45">
      <c r="C12" s="2"/>
      <c r="K12" s="3"/>
    </row>
    <row r="13" spans="3:11" x14ac:dyDescent="0.45">
      <c r="C13" s="10"/>
      <c r="D13" s="11"/>
      <c r="E13" s="11"/>
      <c r="F13" s="11"/>
      <c r="G13" s="11"/>
      <c r="H13" s="11"/>
      <c r="I13" s="11"/>
      <c r="J13" s="11"/>
      <c r="K13" s="12"/>
    </row>
    <row r="14" spans="3:11" x14ac:dyDescent="0.45">
      <c r="C14" s="2"/>
      <c r="K14" s="3"/>
    </row>
    <row r="15" spans="3:11" x14ac:dyDescent="0.45">
      <c r="C15" s="2"/>
      <c r="K15" s="3"/>
    </row>
    <row r="16" spans="3:11" x14ac:dyDescent="0.45">
      <c r="C16" s="2"/>
      <c r="K16" s="3"/>
    </row>
    <row r="17" spans="3:11" x14ac:dyDescent="0.45">
      <c r="C17" s="7"/>
      <c r="D17" s="8"/>
      <c r="E17" s="8"/>
      <c r="F17" s="8"/>
      <c r="G17" s="8"/>
      <c r="H17" s="8"/>
      <c r="I17" s="8"/>
      <c r="J17" s="8"/>
      <c r="K17" s="9"/>
    </row>
    <row r="18" spans="3:11" x14ac:dyDescent="0.45">
      <c r="C18" s="2"/>
      <c r="K18" s="3"/>
    </row>
    <row r="19" spans="3:11" x14ac:dyDescent="0.45">
      <c r="C19" s="2"/>
      <c r="K19" s="3"/>
    </row>
    <row r="20" spans="3:11" x14ac:dyDescent="0.45">
      <c r="C20" s="2"/>
      <c r="K20" s="3"/>
    </row>
    <row r="21" spans="3:11" x14ac:dyDescent="0.45">
      <c r="C21" s="2"/>
      <c r="K21" s="3"/>
    </row>
    <row r="22" spans="3:11" x14ac:dyDescent="0.45">
      <c r="C22" s="2"/>
      <c r="K22" s="3"/>
    </row>
    <row r="23" spans="3:11" x14ac:dyDescent="0.45">
      <c r="C23" s="2"/>
      <c r="K23" s="3"/>
    </row>
    <row r="24" spans="3:11" x14ac:dyDescent="0.45">
      <c r="C24" s="2"/>
      <c r="K24" s="3"/>
    </row>
    <row r="25" spans="3:11" x14ac:dyDescent="0.45">
      <c r="C25" s="2"/>
      <c r="D25" s="14"/>
      <c r="E25" s="14"/>
      <c r="F25" s="14"/>
      <c r="G25" s="14"/>
      <c r="H25" s="14" t="s">
        <v>4</v>
      </c>
      <c r="I25" s="47">
        <v>46204</v>
      </c>
      <c r="J25" s="48"/>
      <c r="K25" s="3"/>
    </row>
    <row r="26" spans="3:11" x14ac:dyDescent="0.45">
      <c r="C26" s="2"/>
      <c r="D26" s="14"/>
      <c r="E26" s="14"/>
      <c r="F26" s="14"/>
      <c r="G26" s="14"/>
      <c r="H26" s="14" t="s">
        <v>5</v>
      </c>
      <c r="I26" s="48" t="s">
        <v>11</v>
      </c>
      <c r="J26" s="48"/>
      <c r="K26" s="3"/>
    </row>
    <row r="27" spans="3:11" ht="17.5" thickBot="1" x14ac:dyDescent="0.5">
      <c r="C27" s="2"/>
      <c r="D27" s="14"/>
      <c r="E27" s="14"/>
      <c r="F27" s="14"/>
      <c r="G27" s="14"/>
      <c r="H27" s="14"/>
      <c r="I27" s="14"/>
      <c r="J27" s="14"/>
      <c r="K27" s="3"/>
    </row>
    <row r="28" spans="3:11" x14ac:dyDescent="0.45">
      <c r="C28" s="2"/>
      <c r="D28" s="55" t="s">
        <v>7</v>
      </c>
      <c r="E28" s="56"/>
      <c r="F28" s="71" t="s">
        <v>12</v>
      </c>
      <c r="G28" s="72"/>
      <c r="H28" s="72"/>
      <c r="I28" s="72"/>
      <c r="J28" s="73"/>
      <c r="K28" s="3"/>
    </row>
    <row r="29" spans="3:11" x14ac:dyDescent="0.45">
      <c r="C29" s="2"/>
      <c r="D29" s="67" t="s">
        <v>8</v>
      </c>
      <c r="E29" s="68"/>
      <c r="F29" s="74" t="s">
        <v>13</v>
      </c>
      <c r="G29" s="74"/>
      <c r="H29" s="74"/>
      <c r="I29" s="74"/>
      <c r="J29" s="75"/>
      <c r="K29" s="3"/>
    </row>
    <row r="30" spans="3:11" x14ac:dyDescent="0.45">
      <c r="C30" s="2"/>
      <c r="D30" s="67" t="s">
        <v>9</v>
      </c>
      <c r="E30" s="68"/>
      <c r="F30" s="74" t="s">
        <v>15</v>
      </c>
      <c r="G30" s="74"/>
      <c r="H30" s="74"/>
      <c r="I30" s="74"/>
      <c r="J30" s="75"/>
      <c r="K30" s="3"/>
    </row>
    <row r="31" spans="3:11" ht="17.5" thickBot="1" x14ac:dyDescent="0.5">
      <c r="C31" s="2"/>
      <c r="D31" s="69" t="s">
        <v>10</v>
      </c>
      <c r="E31" s="70"/>
      <c r="F31" s="76" t="s">
        <v>17</v>
      </c>
      <c r="G31" s="76"/>
      <c r="H31" s="76"/>
      <c r="I31" s="76"/>
      <c r="J31" s="77"/>
      <c r="K31" s="3"/>
    </row>
    <row r="32" spans="3:11" x14ac:dyDescent="0.45">
      <c r="C32" s="2"/>
      <c r="D32" s="13"/>
      <c r="E32" s="13"/>
      <c r="F32" s="1"/>
      <c r="G32" s="1"/>
      <c r="H32" s="1"/>
      <c r="I32" s="1"/>
      <c r="J32" s="1"/>
      <c r="K32" s="3"/>
    </row>
    <row r="33" spans="3:11" x14ac:dyDescent="0.45">
      <c r="C33" s="2"/>
      <c r="K33" s="3"/>
    </row>
    <row r="34" spans="3:11" ht="17.5" thickBot="1" x14ac:dyDescent="0.5">
      <c r="C34" s="4"/>
      <c r="D34" s="5"/>
      <c r="E34" s="5"/>
      <c r="F34" s="5"/>
      <c r="G34" s="5"/>
      <c r="H34" s="5"/>
      <c r="I34" s="5"/>
      <c r="J34" s="5"/>
      <c r="K34" s="6"/>
    </row>
  </sheetData>
  <mergeCells count="19">
    <mergeCell ref="D29:E29"/>
    <mergeCell ref="D30:E30"/>
    <mergeCell ref="D31:E31"/>
    <mergeCell ref="F28:J28"/>
    <mergeCell ref="F29:J29"/>
    <mergeCell ref="F30:J30"/>
    <mergeCell ref="F31:J31"/>
    <mergeCell ref="I25:J25"/>
    <mergeCell ref="I26:J26"/>
    <mergeCell ref="C2:K2"/>
    <mergeCell ref="C3:K3"/>
    <mergeCell ref="D28:E28"/>
    <mergeCell ref="C10:K10"/>
    <mergeCell ref="C4:K4"/>
    <mergeCell ref="C5:K5"/>
    <mergeCell ref="C6:K6"/>
    <mergeCell ref="C7:K7"/>
    <mergeCell ref="C8:K8"/>
    <mergeCell ref="C9:K9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34F48-F30F-4AFC-9F11-F4A13E7CC203}">
  <dimension ref="B1:D15"/>
  <sheetViews>
    <sheetView showGridLines="0" workbookViewId="0">
      <selection activeCell="D29" sqref="D29"/>
    </sheetView>
  </sheetViews>
  <sheetFormatPr defaultRowHeight="17" x14ac:dyDescent="0.45"/>
  <cols>
    <col min="1" max="1" width="1.58203125" customWidth="1"/>
    <col min="3" max="3" width="13.75" customWidth="1"/>
    <col min="4" max="4" width="50.58203125" customWidth="1"/>
  </cols>
  <sheetData>
    <row r="1" spans="2:4" ht="15" customHeight="1" x14ac:dyDescent="0.45"/>
    <row r="2" spans="2:4" x14ac:dyDescent="0.45">
      <c r="B2" s="15" t="s">
        <v>6</v>
      </c>
      <c r="C2" s="15" t="s">
        <v>18</v>
      </c>
      <c r="D2" s="15" t="s">
        <v>19</v>
      </c>
    </row>
    <row r="3" spans="2:4" x14ac:dyDescent="0.45">
      <c r="B3" s="16" t="s">
        <v>16</v>
      </c>
      <c r="C3" s="17">
        <v>46204</v>
      </c>
      <c r="D3" s="18" t="s">
        <v>21</v>
      </c>
    </row>
    <row r="4" spans="2:4" x14ac:dyDescent="0.45">
      <c r="B4" s="16"/>
      <c r="C4" s="16"/>
      <c r="D4" s="18"/>
    </row>
    <row r="5" spans="2:4" x14ac:dyDescent="0.45">
      <c r="B5" s="16"/>
      <c r="C5" s="16"/>
      <c r="D5" s="18"/>
    </row>
    <row r="6" spans="2:4" x14ac:dyDescent="0.45">
      <c r="B6" s="16"/>
      <c r="C6" s="16"/>
      <c r="D6" s="18"/>
    </row>
    <row r="7" spans="2:4" x14ac:dyDescent="0.45">
      <c r="B7" s="16"/>
      <c r="C7" s="16"/>
      <c r="D7" s="18"/>
    </row>
    <row r="8" spans="2:4" x14ac:dyDescent="0.45">
      <c r="B8" s="16"/>
      <c r="C8" s="16"/>
      <c r="D8" s="18"/>
    </row>
    <row r="9" spans="2:4" x14ac:dyDescent="0.45">
      <c r="B9" s="16"/>
      <c r="C9" s="16"/>
      <c r="D9" s="18"/>
    </row>
    <row r="10" spans="2:4" x14ac:dyDescent="0.45">
      <c r="B10" s="16"/>
      <c r="C10" s="16"/>
      <c r="D10" s="18"/>
    </row>
    <row r="11" spans="2:4" x14ac:dyDescent="0.45">
      <c r="B11" s="16"/>
      <c r="C11" s="16"/>
      <c r="D11" s="18"/>
    </row>
    <row r="12" spans="2:4" x14ac:dyDescent="0.45">
      <c r="B12" s="16"/>
      <c r="C12" s="16"/>
      <c r="D12" s="18"/>
    </row>
    <row r="13" spans="2:4" x14ac:dyDescent="0.45">
      <c r="B13" s="16"/>
      <c r="C13" s="16"/>
      <c r="D13" s="18"/>
    </row>
    <row r="14" spans="2:4" x14ac:dyDescent="0.45">
      <c r="B14" s="16"/>
      <c r="C14" s="16"/>
      <c r="D14" s="18"/>
    </row>
    <row r="15" spans="2:4" x14ac:dyDescent="0.45">
      <c r="B15" s="16"/>
      <c r="C15" s="16"/>
      <c r="D15" s="18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020BA-C61E-4EBB-8CC1-449F43030DAA}">
  <dimension ref="A1:G10"/>
  <sheetViews>
    <sheetView showGridLines="0" zoomScale="70" zoomScaleNormal="70" workbookViewId="0">
      <selection activeCell="G34" sqref="G34"/>
    </sheetView>
  </sheetViews>
  <sheetFormatPr defaultRowHeight="17" x14ac:dyDescent="0.45"/>
  <cols>
    <col min="7" max="7" width="38.33203125" customWidth="1"/>
  </cols>
  <sheetData>
    <row r="1" spans="1:7" ht="17.5" x14ac:dyDescent="0.45">
      <c r="A1" s="21" t="s">
        <v>22</v>
      </c>
    </row>
    <row r="2" spans="1:7" x14ac:dyDescent="0.45">
      <c r="F2" s="19" t="s">
        <v>23</v>
      </c>
      <c r="G2" s="19" t="s">
        <v>27</v>
      </c>
    </row>
    <row r="4" spans="1:7" x14ac:dyDescent="0.45">
      <c r="F4" s="19" t="s">
        <v>24</v>
      </c>
      <c r="G4" s="19" t="s">
        <v>28</v>
      </c>
    </row>
    <row r="6" spans="1:7" ht="25" x14ac:dyDescent="0.45">
      <c r="F6" s="19" t="s">
        <v>25</v>
      </c>
      <c r="G6" s="19" t="s">
        <v>29</v>
      </c>
    </row>
    <row r="8" spans="1:7" x14ac:dyDescent="0.45">
      <c r="F8" s="19" t="s">
        <v>26</v>
      </c>
      <c r="G8" s="19" t="s">
        <v>30</v>
      </c>
    </row>
    <row r="9" spans="1:7" x14ac:dyDescent="0.45">
      <c r="F9" s="19"/>
      <c r="G9" s="20"/>
    </row>
    <row r="10" spans="1:7" ht="105" customHeight="1" x14ac:dyDescent="0.45">
      <c r="F10" s="78" t="s">
        <v>31</v>
      </c>
      <c r="G10" s="78"/>
    </row>
  </sheetData>
  <mergeCells count="1">
    <mergeCell ref="F10:G10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8F74-1331-49B8-9C10-60B74587E2C3}">
  <dimension ref="B1:M41"/>
  <sheetViews>
    <sheetView showGridLines="0" tabSelected="1" zoomScaleNormal="100" workbookViewId="0">
      <selection activeCell="H33" sqref="H33"/>
    </sheetView>
  </sheetViews>
  <sheetFormatPr defaultRowHeight="17" x14ac:dyDescent="0.45"/>
  <cols>
    <col min="1" max="1" width="1.58203125" customWidth="1"/>
    <col min="4" max="4" width="17.83203125" bestFit="1" customWidth="1"/>
    <col min="13" max="13" width="13.9140625" customWidth="1"/>
  </cols>
  <sheetData>
    <row r="1" spans="2:13" ht="10" customHeight="1" thickBot="1" x14ac:dyDescent="0.5"/>
    <row r="2" spans="2:13" x14ac:dyDescent="0.45">
      <c r="B2" s="42"/>
      <c r="C2" s="42"/>
      <c r="D2" s="43"/>
      <c r="E2" s="23" t="s">
        <v>32</v>
      </c>
      <c r="F2" s="22" t="s">
        <v>33</v>
      </c>
      <c r="G2" s="22" t="s">
        <v>34</v>
      </c>
      <c r="H2" s="22" t="s">
        <v>35</v>
      </c>
      <c r="I2" s="22" t="s">
        <v>36</v>
      </c>
      <c r="J2" s="22" t="s">
        <v>37</v>
      </c>
      <c r="K2" s="22" t="s">
        <v>38</v>
      </c>
      <c r="L2" s="24" t="s">
        <v>39</v>
      </c>
      <c r="M2" s="25" t="s">
        <v>40</v>
      </c>
    </row>
    <row r="3" spans="2:13" ht="17.5" thickBot="1" x14ac:dyDescent="0.5">
      <c r="B3" s="29"/>
      <c r="C3" s="29"/>
      <c r="D3" s="44" t="s">
        <v>41</v>
      </c>
      <c r="E3" s="27" t="s">
        <v>42</v>
      </c>
      <c r="F3" s="26" t="s">
        <v>42</v>
      </c>
      <c r="G3" s="26" t="s">
        <v>42</v>
      </c>
      <c r="H3" s="26" t="s">
        <v>42</v>
      </c>
      <c r="I3" s="26" t="s">
        <v>43</v>
      </c>
      <c r="J3" s="26" t="s">
        <v>43</v>
      </c>
      <c r="K3" s="26" t="s">
        <v>43</v>
      </c>
      <c r="L3" s="28" t="s">
        <v>43</v>
      </c>
      <c r="M3" s="29" t="s">
        <v>20</v>
      </c>
    </row>
    <row r="4" spans="2:13" x14ac:dyDescent="0.45">
      <c r="B4" s="42" t="s">
        <v>32</v>
      </c>
      <c r="C4" s="42" t="s">
        <v>44</v>
      </c>
      <c r="D4" s="34" t="s">
        <v>45</v>
      </c>
      <c r="E4" s="25">
        <v>61192</v>
      </c>
      <c r="F4" s="23">
        <v>37757</v>
      </c>
      <c r="G4" s="22">
        <v>51424</v>
      </c>
      <c r="H4" s="22">
        <v>63797</v>
      </c>
      <c r="I4" s="22">
        <v>3274.4</v>
      </c>
      <c r="J4" s="22">
        <v>-386.6</v>
      </c>
      <c r="K4" s="22">
        <v>-6975.4</v>
      </c>
      <c r="L4" s="24">
        <v>6986.1</v>
      </c>
      <c r="M4" s="25">
        <v>1.35</v>
      </c>
    </row>
    <row r="5" spans="2:13" ht="17.5" thickBot="1" x14ac:dyDescent="0.5">
      <c r="B5" s="32" t="s">
        <v>32</v>
      </c>
      <c r="C5" s="32" t="s">
        <v>46</v>
      </c>
      <c r="D5" s="35" t="s">
        <v>47</v>
      </c>
      <c r="E5" s="32">
        <v>-22925</v>
      </c>
      <c r="F5" s="33">
        <v>-32745</v>
      </c>
      <c r="G5" s="30">
        <v>-8806</v>
      </c>
      <c r="H5" s="30">
        <v>33908</v>
      </c>
      <c r="I5" s="30">
        <v>4962.3999999999996</v>
      </c>
      <c r="J5" s="30">
        <v>-249</v>
      </c>
      <c r="K5" s="30">
        <v>-6651.8</v>
      </c>
      <c r="L5" s="31">
        <v>6656.4</v>
      </c>
      <c r="M5" s="32">
        <v>1.35</v>
      </c>
    </row>
    <row r="6" spans="2:13" x14ac:dyDescent="0.45">
      <c r="B6" s="42" t="s">
        <v>33</v>
      </c>
      <c r="C6" s="42" t="s">
        <v>44</v>
      </c>
      <c r="D6" s="43" t="s">
        <v>48</v>
      </c>
      <c r="E6" s="34">
        <v>23670</v>
      </c>
      <c r="F6" s="25">
        <v>139746</v>
      </c>
      <c r="G6" s="23">
        <v>6686.6</v>
      </c>
      <c r="H6" s="22">
        <v>139906</v>
      </c>
      <c r="I6" s="22">
        <v>549.5</v>
      </c>
      <c r="J6" s="22">
        <v>-188.4</v>
      </c>
      <c r="K6" s="22">
        <v>-5414.6</v>
      </c>
      <c r="L6" s="24">
        <v>5417.9</v>
      </c>
      <c r="M6" s="25">
        <v>1.1000000000000001</v>
      </c>
    </row>
    <row r="7" spans="2:13" ht="17.5" thickBot="1" x14ac:dyDescent="0.5">
      <c r="B7" s="32" t="s">
        <v>33</v>
      </c>
      <c r="C7" s="32" t="s">
        <v>46</v>
      </c>
      <c r="D7" s="45" t="s">
        <v>49</v>
      </c>
      <c r="E7" s="35">
        <v>27453</v>
      </c>
      <c r="F7" s="32">
        <v>-190493</v>
      </c>
      <c r="G7" s="33">
        <v>-7340.3</v>
      </c>
      <c r="H7" s="30">
        <v>190634</v>
      </c>
      <c r="I7" s="30">
        <v>1841.8</v>
      </c>
      <c r="J7" s="30">
        <v>413.1</v>
      </c>
      <c r="K7" s="30">
        <v>-5190</v>
      </c>
      <c r="L7" s="31">
        <v>5206.3999999999996</v>
      </c>
      <c r="M7" s="32">
        <v>1.1000000000000001</v>
      </c>
    </row>
    <row r="8" spans="2:13" x14ac:dyDescent="0.45">
      <c r="B8" s="42" t="s">
        <v>34</v>
      </c>
      <c r="C8" s="42" t="s">
        <v>44</v>
      </c>
      <c r="D8" s="43" t="s">
        <v>49</v>
      </c>
      <c r="E8" s="23">
        <v>10308</v>
      </c>
      <c r="F8" s="24">
        <v>-735.3</v>
      </c>
      <c r="G8" s="25">
        <v>185249</v>
      </c>
      <c r="H8" s="23">
        <v>185251</v>
      </c>
      <c r="I8" s="22">
        <v>972.3</v>
      </c>
      <c r="J8" s="22">
        <v>-303.3</v>
      </c>
      <c r="K8" s="22">
        <v>-6062.3</v>
      </c>
      <c r="L8" s="24">
        <v>6069.9</v>
      </c>
      <c r="M8" s="25">
        <v>1.1000000000000001</v>
      </c>
    </row>
    <row r="9" spans="2:13" ht="17.5" thickBot="1" x14ac:dyDescent="0.5">
      <c r="B9" s="32" t="s">
        <v>34</v>
      </c>
      <c r="C9" s="32" t="s">
        <v>46</v>
      </c>
      <c r="D9" s="45" t="s">
        <v>50</v>
      </c>
      <c r="E9" s="33">
        <v>17013</v>
      </c>
      <c r="F9" s="31">
        <v>-52162</v>
      </c>
      <c r="G9" s="32">
        <v>-183500</v>
      </c>
      <c r="H9" s="33">
        <v>190770</v>
      </c>
      <c r="I9" s="30">
        <v>-972.9</v>
      </c>
      <c r="J9" s="30">
        <v>231.5</v>
      </c>
      <c r="K9" s="30">
        <v>-5286.7</v>
      </c>
      <c r="L9" s="31">
        <v>5291.7</v>
      </c>
      <c r="M9" s="32">
        <v>1.1000000000000001</v>
      </c>
    </row>
    <row r="10" spans="2:13" x14ac:dyDescent="0.45">
      <c r="B10" s="42" t="s">
        <v>35</v>
      </c>
      <c r="C10" s="42" t="s">
        <v>44</v>
      </c>
      <c r="D10" s="43" t="s">
        <v>51</v>
      </c>
      <c r="E10" s="23">
        <v>22673</v>
      </c>
      <c r="F10" s="22">
        <v>-196996</v>
      </c>
      <c r="G10" s="24">
        <v>-49588</v>
      </c>
      <c r="H10" s="25">
        <v>203141</v>
      </c>
      <c r="I10" s="23">
        <v>544.20000000000005</v>
      </c>
      <c r="J10" s="22">
        <v>230.3</v>
      </c>
      <c r="K10" s="22">
        <v>-5268.1</v>
      </c>
      <c r="L10" s="24">
        <v>5273.1</v>
      </c>
      <c r="M10" s="25">
        <v>1.1000000000000001</v>
      </c>
    </row>
    <row r="11" spans="2:13" ht="17.5" thickBot="1" x14ac:dyDescent="0.5">
      <c r="B11" s="32" t="s">
        <v>35</v>
      </c>
      <c r="C11" s="32" t="s">
        <v>46</v>
      </c>
      <c r="D11" s="45" t="s">
        <v>52</v>
      </c>
      <c r="E11" s="33">
        <v>58208</v>
      </c>
      <c r="F11" s="30">
        <v>0.84</v>
      </c>
      <c r="G11" s="31">
        <v>-21.4</v>
      </c>
      <c r="H11" s="32">
        <v>21.4</v>
      </c>
      <c r="I11" s="33">
        <v>2662.2</v>
      </c>
      <c r="J11" s="30">
        <v>-142.1</v>
      </c>
      <c r="K11" s="30">
        <v>-6652.3</v>
      </c>
      <c r="L11" s="31">
        <v>6653.8</v>
      </c>
      <c r="M11" s="32">
        <v>1.35</v>
      </c>
    </row>
    <row r="12" spans="2:13" x14ac:dyDescent="0.45">
      <c r="B12" s="42" t="s">
        <v>36</v>
      </c>
      <c r="C12" s="42" t="s">
        <v>44</v>
      </c>
      <c r="D12" s="43" t="s">
        <v>53</v>
      </c>
      <c r="E12" s="23">
        <v>51143</v>
      </c>
      <c r="F12" s="22">
        <v>-54956</v>
      </c>
      <c r="G12" s="22">
        <v>17904</v>
      </c>
      <c r="H12" s="24">
        <v>57799</v>
      </c>
      <c r="I12" s="25">
        <v>7235.5</v>
      </c>
      <c r="J12" s="23">
        <v>416.3</v>
      </c>
      <c r="K12" s="22">
        <v>-6734.5</v>
      </c>
      <c r="L12" s="24">
        <v>6747.4</v>
      </c>
      <c r="M12" s="25">
        <v>1.35</v>
      </c>
    </row>
    <row r="13" spans="2:13" ht="17.5" thickBot="1" x14ac:dyDescent="0.5">
      <c r="B13" s="32" t="s">
        <v>36</v>
      </c>
      <c r="C13" s="32" t="s">
        <v>46</v>
      </c>
      <c r="D13" s="45" t="s">
        <v>54</v>
      </c>
      <c r="E13" s="33">
        <v>90.3</v>
      </c>
      <c r="F13" s="30">
        <v>-21879</v>
      </c>
      <c r="G13" s="30">
        <v>-1917</v>
      </c>
      <c r="H13" s="31">
        <v>21962</v>
      </c>
      <c r="I13" s="32">
        <v>-3825.7</v>
      </c>
      <c r="J13" s="33">
        <v>-97.8</v>
      </c>
      <c r="K13" s="30">
        <v>-5429.5</v>
      </c>
      <c r="L13" s="31">
        <v>5430.4</v>
      </c>
      <c r="M13" s="32">
        <v>1.1000000000000001</v>
      </c>
    </row>
    <row r="14" spans="2:13" x14ac:dyDescent="0.45">
      <c r="B14" s="42" t="s">
        <v>37</v>
      </c>
      <c r="C14" s="42" t="s">
        <v>44</v>
      </c>
      <c r="D14" s="43" t="s">
        <v>55</v>
      </c>
      <c r="E14" s="23">
        <v>-40.299999999999997</v>
      </c>
      <c r="F14" s="22">
        <v>-20224</v>
      </c>
      <c r="G14" s="22">
        <v>-14206</v>
      </c>
      <c r="H14" s="22">
        <v>24715</v>
      </c>
      <c r="I14" s="24">
        <v>348.8</v>
      </c>
      <c r="J14" s="25">
        <v>2579</v>
      </c>
      <c r="K14" s="23">
        <v>-5058.3999999999996</v>
      </c>
      <c r="L14" s="24">
        <v>5677.9</v>
      </c>
      <c r="M14" s="25">
        <v>1.1000000000000001</v>
      </c>
    </row>
    <row r="15" spans="2:13" ht="17.5" thickBot="1" x14ac:dyDescent="0.5">
      <c r="B15" s="32" t="s">
        <v>37</v>
      </c>
      <c r="C15" s="32" t="s">
        <v>46</v>
      </c>
      <c r="D15" s="45" t="s">
        <v>56</v>
      </c>
      <c r="E15" s="33">
        <v>33.299999999999997</v>
      </c>
      <c r="F15" s="30">
        <v>-42039</v>
      </c>
      <c r="G15" s="30">
        <v>15795</v>
      </c>
      <c r="H15" s="30">
        <v>44908</v>
      </c>
      <c r="I15" s="31">
        <v>329.1</v>
      </c>
      <c r="J15" s="32">
        <v>-2538</v>
      </c>
      <c r="K15" s="33">
        <v>-5320.3</v>
      </c>
      <c r="L15" s="31">
        <v>5894.7</v>
      </c>
      <c r="M15" s="32">
        <v>1.1000000000000001</v>
      </c>
    </row>
    <row r="16" spans="2:13" x14ac:dyDescent="0.45">
      <c r="B16" s="42" t="s">
        <v>38</v>
      </c>
      <c r="C16" s="42" t="s">
        <v>44</v>
      </c>
      <c r="D16" s="43" t="s">
        <v>57</v>
      </c>
      <c r="E16" s="23">
        <v>-2</v>
      </c>
      <c r="F16" s="22">
        <v>-1062.9000000000001</v>
      </c>
      <c r="G16" s="22">
        <v>31221</v>
      </c>
      <c r="H16" s="22">
        <v>31240</v>
      </c>
      <c r="I16" s="22">
        <v>-35.6</v>
      </c>
      <c r="J16" s="24">
        <v>-251.6</v>
      </c>
      <c r="K16" s="25">
        <v>-2299.1</v>
      </c>
      <c r="L16" s="34">
        <v>2312.8000000000002</v>
      </c>
      <c r="M16" s="25">
        <v>1.1000000000000001</v>
      </c>
    </row>
    <row r="17" spans="2:13" ht="17.5" thickBot="1" x14ac:dyDescent="0.5">
      <c r="B17" s="32" t="s">
        <v>38</v>
      </c>
      <c r="C17" s="32" t="s">
        <v>46</v>
      </c>
      <c r="D17" s="45" t="s">
        <v>58</v>
      </c>
      <c r="E17" s="33">
        <v>61059</v>
      </c>
      <c r="F17" s="30">
        <v>-37291</v>
      </c>
      <c r="G17" s="30">
        <v>69956</v>
      </c>
      <c r="H17" s="30">
        <v>79274</v>
      </c>
      <c r="I17" s="30">
        <v>2513.3000000000002</v>
      </c>
      <c r="J17" s="31">
        <v>-51.2</v>
      </c>
      <c r="K17" s="32">
        <v>-7591.4</v>
      </c>
      <c r="L17" s="35">
        <v>7591.6</v>
      </c>
      <c r="M17" s="32">
        <v>1.35</v>
      </c>
    </row>
    <row r="18" spans="2:13" x14ac:dyDescent="0.45">
      <c r="B18" s="40" t="s">
        <v>39</v>
      </c>
      <c r="C18" s="40" t="s">
        <v>44</v>
      </c>
      <c r="D18" s="46" t="s">
        <v>58</v>
      </c>
      <c r="E18" s="37">
        <v>55311</v>
      </c>
      <c r="F18" s="36">
        <v>33079</v>
      </c>
      <c r="G18" s="36">
        <v>46422</v>
      </c>
      <c r="H18" s="36">
        <v>57002</v>
      </c>
      <c r="I18" s="36">
        <v>2575.3000000000002</v>
      </c>
      <c r="J18" s="36">
        <v>-688.1</v>
      </c>
      <c r="K18" s="38">
        <v>-7573.1</v>
      </c>
      <c r="L18" s="39">
        <v>7604.3</v>
      </c>
      <c r="M18" s="40">
        <v>1.35</v>
      </c>
    </row>
    <row r="19" spans="2:13" ht="17.5" thickBot="1" x14ac:dyDescent="0.5">
      <c r="B19" s="32" t="s">
        <v>39</v>
      </c>
      <c r="C19" s="32" t="s">
        <v>46</v>
      </c>
      <c r="D19" s="45" t="s">
        <v>57</v>
      </c>
      <c r="E19" s="33">
        <v>-2</v>
      </c>
      <c r="F19" s="30">
        <v>-1062.9000000000001</v>
      </c>
      <c r="G19" s="30">
        <v>31221</v>
      </c>
      <c r="H19" s="30">
        <v>31240</v>
      </c>
      <c r="I19" s="30">
        <v>-35.6</v>
      </c>
      <c r="J19" s="30">
        <v>-251.6</v>
      </c>
      <c r="K19" s="31">
        <v>-2299.1</v>
      </c>
      <c r="L19" s="41">
        <v>2312.8000000000002</v>
      </c>
      <c r="M19" s="32">
        <v>1.1000000000000001</v>
      </c>
    </row>
    <row r="21" spans="2:13" ht="17" customHeight="1" x14ac:dyDescent="0.45">
      <c r="B21" s="79" t="s">
        <v>59</v>
      </c>
      <c r="C21" s="79"/>
      <c r="D21" s="79"/>
      <c r="H21">
        <f>SQRT(F4^2+G4^2)</f>
        <v>63796.699170098138</v>
      </c>
      <c r="L21">
        <f>SQRT(J4^2+K4^2)</f>
        <v>6986.1051180181939</v>
      </c>
    </row>
    <row r="22" spans="2:13" x14ac:dyDescent="0.45">
      <c r="B22" s="80"/>
      <c r="C22" s="80"/>
      <c r="D22" s="80"/>
    </row>
    <row r="23" spans="2:13" x14ac:dyDescent="0.45">
      <c r="B23" s="80"/>
      <c r="C23" s="80"/>
      <c r="D23" s="80"/>
    </row>
    <row r="24" spans="2:13" x14ac:dyDescent="0.45">
      <c r="B24" s="80"/>
      <c r="C24" s="80"/>
      <c r="D24" s="80"/>
    </row>
    <row r="25" spans="2:13" x14ac:dyDescent="0.45">
      <c r="B25" s="80"/>
      <c r="C25" s="80"/>
      <c r="D25" s="80"/>
    </row>
    <row r="26" spans="2:13" x14ac:dyDescent="0.45">
      <c r="B26" s="80"/>
      <c r="C26" s="80"/>
      <c r="D26" s="80"/>
    </row>
    <row r="27" spans="2:13" x14ac:dyDescent="0.45">
      <c r="B27" s="80"/>
      <c r="C27" s="80"/>
      <c r="D27" s="80"/>
    </row>
    <row r="28" spans="2:13" x14ac:dyDescent="0.45">
      <c r="B28" s="80"/>
      <c r="C28" s="80"/>
      <c r="D28" s="80"/>
    </row>
    <row r="29" spans="2:13" x14ac:dyDescent="0.45">
      <c r="B29" s="80"/>
      <c r="C29" s="80"/>
      <c r="D29" s="80"/>
    </row>
    <row r="30" spans="2:13" x14ac:dyDescent="0.45">
      <c r="B30" s="80"/>
      <c r="C30" s="80"/>
      <c r="D30" s="80"/>
    </row>
    <row r="31" spans="2:13" x14ac:dyDescent="0.45">
      <c r="B31" s="80"/>
      <c r="C31" s="80"/>
      <c r="D31" s="80"/>
    </row>
    <row r="32" spans="2:13" x14ac:dyDescent="0.45">
      <c r="B32" s="80"/>
      <c r="C32" s="80"/>
      <c r="D32" s="80"/>
    </row>
    <row r="33" spans="2:4" x14ac:dyDescent="0.45">
      <c r="B33" s="80"/>
      <c r="C33" s="80"/>
      <c r="D33" s="80"/>
    </row>
    <row r="34" spans="2:4" x14ac:dyDescent="0.45">
      <c r="B34" s="80"/>
      <c r="C34" s="80"/>
      <c r="D34" s="80"/>
    </row>
    <row r="35" spans="2:4" x14ac:dyDescent="0.45">
      <c r="B35" s="80"/>
      <c r="C35" s="80"/>
      <c r="D35" s="80"/>
    </row>
    <row r="36" spans="2:4" x14ac:dyDescent="0.45">
      <c r="B36" s="80"/>
      <c r="C36" s="80"/>
      <c r="D36" s="80"/>
    </row>
    <row r="37" spans="2:4" x14ac:dyDescent="0.45">
      <c r="B37" s="80"/>
      <c r="C37" s="80"/>
      <c r="D37" s="80"/>
    </row>
    <row r="38" spans="2:4" x14ac:dyDescent="0.45">
      <c r="B38" s="80"/>
      <c r="C38" s="80"/>
      <c r="D38" s="80"/>
    </row>
    <row r="39" spans="2:4" x14ac:dyDescent="0.45">
      <c r="B39" s="80"/>
      <c r="C39" s="80"/>
      <c r="D39" s="80"/>
    </row>
    <row r="40" spans="2:4" x14ac:dyDescent="0.45">
      <c r="B40" s="80"/>
      <c r="C40" s="80"/>
      <c r="D40" s="80"/>
    </row>
    <row r="41" spans="2:4" x14ac:dyDescent="0.45">
      <c r="B41" s="80"/>
      <c r="C41" s="80"/>
      <c r="D41" s="80"/>
    </row>
  </sheetData>
  <mergeCells count="1">
    <mergeCell ref="B21:D4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Title</vt:lpstr>
      <vt:lpstr>RevisionHistory</vt:lpstr>
      <vt:lpstr>Coordinate</vt:lpstr>
      <vt:lpstr>ExtremeLoads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JEONGGI KIM</dc:creator>
  <cp:lastModifiedBy>KIMM</cp:lastModifiedBy>
  <dcterms:created xsi:type="dcterms:W3CDTF">2026-06-30T08:08:20Z</dcterms:created>
  <dcterms:modified xsi:type="dcterms:W3CDTF">2026-07-03T08:06:14Z</dcterms:modified>
</cp:coreProperties>
</file>