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-1.37845e-12</v>
      </c>
      <c r="C2" t="n">
        <v>5.09167</v>
      </c>
      <c r="D2" t="n">
        <v>2.545835</v>
      </c>
      <c r="E2" t="n">
        <v>4965600</v>
      </c>
      <c r="F2" t="n">
        <v>126450</v>
      </c>
      <c r="G2" t="n">
        <v>3017070</v>
      </c>
      <c r="H2" t="n">
        <v>-4814750</v>
      </c>
      <c r="I2" t="n">
        <v>-13666500</v>
      </c>
      <c r="J2" t="n">
        <v>23992200</v>
      </c>
      <c r="K2" t="inlineStr">
        <is>
          <t>Main Bearing_UW</t>
        </is>
      </c>
      <c r="L2" t="n">
        <v>1367.42727128442</v>
      </c>
      <c r="M2" t="n">
        <v>1325.702842407602</v>
      </c>
      <c r="N2" t="n">
        <v>10.28885837153339</v>
      </c>
      <c r="O2" t="n">
        <v>20638113.44679966</v>
      </c>
      <c r="P2" t="n">
        <v>34208281.92411289</v>
      </c>
      <c r="Q2" t="n">
        <v>31603092.44918441</v>
      </c>
      <c r="R2" t="n">
        <v>40424953.31175001</v>
      </c>
      <c r="S2" t="n">
        <v>1.233559940719669e-07</v>
      </c>
      <c r="T2" t="n">
        <v>7.442159783550778e-08</v>
      </c>
      <c r="U2" t="n">
        <v>8.055651528702537e-08</v>
      </c>
      <c r="V2" t="n">
        <v>6.297681979659879e-08</v>
      </c>
    </row>
    <row r="3">
      <c r="A3" t="n">
        <v>0</v>
      </c>
      <c r="B3" t="n">
        <v>-1.37845e-12</v>
      </c>
      <c r="C3" t="n">
        <v>5.09167</v>
      </c>
      <c r="D3" t="n">
        <v>2.545835</v>
      </c>
      <c r="E3" t="n">
        <v>4965600</v>
      </c>
      <c r="F3" t="n">
        <v>126450</v>
      </c>
      <c r="G3" t="n">
        <v>3017070</v>
      </c>
      <c r="H3" t="n">
        <v>-4814750</v>
      </c>
      <c r="I3" t="n">
        <v>-13666500</v>
      </c>
      <c r="J3" t="n">
        <v>23992200</v>
      </c>
      <c r="K3" t="inlineStr">
        <is>
          <t>Main Bearing_DW</t>
        </is>
      </c>
      <c r="L3" t="n">
        <v>1100.831539247233</v>
      </c>
      <c r="M3" t="n">
        <v>1067.285617825292</v>
      </c>
      <c r="N3" t="n">
        <v>24.67028414149639</v>
      </c>
      <c r="O3" t="n">
        <v>380796724.0306594</v>
      </c>
      <c r="P3" t="n">
        <v>2800952309.321441</v>
      </c>
      <c r="Q3" t="n">
        <v>350305815.0694894</v>
      </c>
      <c r="R3" t="n">
        <v>971027189.7501825</v>
      </c>
      <c r="S3" t="n">
        <v>6.685548586271516e-09</v>
      </c>
      <c r="T3" t="n">
        <v>9.089176533022636e-10</v>
      </c>
      <c r="U3" t="n">
        <v>7.267464285441532e-09</v>
      </c>
      <c r="V3" t="n">
        <v>2.621795791995248e-09</v>
      </c>
    </row>
    <row r="4">
      <c r="A4" t="n">
        <v>600</v>
      </c>
      <c r="B4" t="n">
        <v>60</v>
      </c>
      <c r="C4" t="n">
        <v>4.5795</v>
      </c>
      <c r="D4" t="n">
        <v>4.5795</v>
      </c>
      <c r="E4" t="n">
        <v>4966040</v>
      </c>
      <c r="F4" t="n">
        <v>-10209.1</v>
      </c>
      <c r="G4" t="n">
        <v>2532400</v>
      </c>
      <c r="H4" t="n">
        <v>-8777710</v>
      </c>
      <c r="I4" t="n">
        <v>-23632400</v>
      </c>
      <c r="J4" t="n">
        <v>19230200</v>
      </c>
      <c r="K4" t="inlineStr">
        <is>
          <t>Main Bearing_UW</t>
        </is>
      </c>
      <c r="L4" t="n">
        <v>1562.397768007338</v>
      </c>
      <c r="M4" t="n">
        <v>1514.067664748429</v>
      </c>
      <c r="N4" t="n">
        <v>7.758166397624631</v>
      </c>
      <c r="O4" t="n">
        <v>8053345.516064393</v>
      </c>
      <c r="P4" t="n">
        <v>8947811.755716369</v>
      </c>
      <c r="Q4" t="n">
        <v>11495256.60877104</v>
      </c>
      <c r="R4" t="n">
        <v>10795466.73388399</v>
      </c>
      <c r="S4" t="n">
        <v>5.68645662956476e-07</v>
      </c>
      <c r="T4" t="n">
        <v>5.11801111268837e-07</v>
      </c>
      <c r="U4" t="n">
        <v>3.98381711331766e-07</v>
      </c>
      <c r="V4" t="n">
        <v>4.242058368468883e-07</v>
      </c>
    </row>
    <row r="5">
      <c r="A5" t="n">
        <v>600</v>
      </c>
      <c r="B5" t="n">
        <v>60</v>
      </c>
      <c r="C5" t="n">
        <v>4.5795</v>
      </c>
      <c r="D5" t="n">
        <v>4.5795</v>
      </c>
      <c r="E5" t="n">
        <v>4966040</v>
      </c>
      <c r="F5" t="n">
        <v>-10209.1</v>
      </c>
      <c r="G5" t="n">
        <v>2532400</v>
      </c>
      <c r="H5" t="n">
        <v>-8777710</v>
      </c>
      <c r="I5" t="n">
        <v>-23632400</v>
      </c>
      <c r="J5" t="n">
        <v>19230200</v>
      </c>
      <c r="K5" t="inlineStr">
        <is>
          <t>Main Bearing_DW</t>
        </is>
      </c>
      <c r="L5" t="n">
        <v>1317.021823682574</v>
      </c>
      <c r="M5" t="n">
        <v>1276.833540956096</v>
      </c>
      <c r="N5" t="n">
        <v>13.76485846639774</v>
      </c>
      <c r="O5" t="n">
        <v>54452588.87400096</v>
      </c>
      <c r="P5" t="n">
        <v>126626747.7939575</v>
      </c>
      <c r="Q5" t="n">
        <v>62872942.45789091</v>
      </c>
      <c r="R5" t="n">
        <v>92465633.44600677</v>
      </c>
      <c r="S5" t="n">
        <v>8.410068455324697e-08</v>
      </c>
      <c r="T5" t="n">
        <v>3.616534484050398e-08</v>
      </c>
      <c r="U5" t="n">
        <v>7.283737361373083e-08</v>
      </c>
      <c r="V5" t="n">
        <v>4.952650870741178e-08</v>
      </c>
    </row>
    <row r="6">
      <c r="A6" t="n">
        <v>1200</v>
      </c>
      <c r="B6" t="n">
        <v>120</v>
      </c>
      <c r="C6" t="n">
        <v>4.38215</v>
      </c>
      <c r="D6" t="n">
        <v>4.38215</v>
      </c>
      <c r="E6" t="n">
        <v>5106410</v>
      </c>
      <c r="F6" t="n">
        <v>29246.9</v>
      </c>
      <c r="G6" t="n">
        <v>2185940</v>
      </c>
      <c r="H6" t="n">
        <v>-12382500</v>
      </c>
      <c r="I6" t="n">
        <v>-8192719.999999999</v>
      </c>
      <c r="J6" t="n">
        <v>17962200</v>
      </c>
      <c r="K6" t="inlineStr">
        <is>
          <t>Main Bearing_UW</t>
        </is>
      </c>
      <c r="L6" t="n">
        <v>1341.946059889083</v>
      </c>
      <c r="M6" t="n">
        <v>1301.004028214371</v>
      </c>
      <c r="N6" t="n">
        <v>11.19244055739205</v>
      </c>
      <c r="O6" t="n">
        <v>27323019.17374893</v>
      </c>
      <c r="P6" t="n">
        <v>46069628.44861703</v>
      </c>
      <c r="Q6" t="n">
        <v>41442054.82852826</v>
      </c>
      <c r="R6" t="n">
        <v>52627677.70836272</v>
      </c>
      <c r="S6" t="n">
        <v>1.603830810985277e-07</v>
      </c>
      <c r="T6" t="n">
        <v>9.5120150684253e-08</v>
      </c>
      <c r="U6" t="n">
        <v>1.057416196694807e-07</v>
      </c>
      <c r="V6" t="n">
        <v>8.326702204653164e-08</v>
      </c>
    </row>
    <row r="7">
      <c r="A7" t="n">
        <v>1200</v>
      </c>
      <c r="B7" t="n">
        <v>120</v>
      </c>
      <c r="C7" t="n">
        <v>4.38215</v>
      </c>
      <c r="D7" t="n">
        <v>4.38215</v>
      </c>
      <c r="E7" t="n">
        <v>5106410</v>
      </c>
      <c r="F7" t="n">
        <v>29246.9</v>
      </c>
      <c r="G7" t="n">
        <v>2185940</v>
      </c>
      <c r="H7" t="n">
        <v>-12382500</v>
      </c>
      <c r="I7" t="n">
        <v>-8192719.999999999</v>
      </c>
      <c r="J7" t="n">
        <v>17962200</v>
      </c>
      <c r="K7" t="inlineStr">
        <is>
          <t>Main Bearing_DW</t>
        </is>
      </c>
      <c r="L7" t="n">
        <v>1099.702010832573</v>
      </c>
      <c r="M7" t="n">
        <v>1066.344655513846</v>
      </c>
      <c r="N7" t="n">
        <v>23.31734806856812</v>
      </c>
      <c r="O7" t="n">
        <v>315531859.82289</v>
      </c>
      <c r="P7" t="n">
        <v>1773905860.135597</v>
      </c>
      <c r="Q7" t="n">
        <v>328681762.1243259</v>
      </c>
      <c r="R7" t="n">
        <v>795775304.1355218</v>
      </c>
      <c r="S7" t="n">
        <v>1.38881379600137e-08</v>
      </c>
      <c r="T7" t="n">
        <v>2.470339660338587e-09</v>
      </c>
      <c r="U7" t="n">
        <v>1.333250123668993e-08</v>
      </c>
      <c r="V7" t="n">
        <v>5.506768025127999e-09</v>
      </c>
    </row>
    <row r="8">
      <c r="A8" t="n">
        <v>1800</v>
      </c>
      <c r="B8" t="n">
        <v>180</v>
      </c>
      <c r="C8" t="n">
        <v>4.28927</v>
      </c>
      <c r="D8" t="n">
        <v>4.28927</v>
      </c>
      <c r="E8" t="n">
        <v>5052490</v>
      </c>
      <c r="F8" t="n">
        <v>-37181.3</v>
      </c>
      <c r="G8" t="n">
        <v>2384190</v>
      </c>
      <c r="H8" t="n">
        <v>-6482930</v>
      </c>
      <c r="I8" t="n">
        <v>-17725800</v>
      </c>
      <c r="J8" t="n">
        <v>17233000</v>
      </c>
      <c r="K8" t="inlineStr">
        <is>
          <t>Main Bearing_UW</t>
        </is>
      </c>
      <c r="L8" t="n">
        <v>1488.113827446009</v>
      </c>
      <c r="M8" t="n">
        <v>1442.19915526125</v>
      </c>
      <c r="N8" t="n">
        <v>8.9946474406095</v>
      </c>
      <c r="O8" t="n">
        <v>13184384.16455296</v>
      </c>
      <c r="P8" t="n">
        <v>16716818.06248287</v>
      </c>
      <c r="Q8" t="n">
        <v>18342860.41115594</v>
      </c>
      <c r="R8" t="n">
        <v>18682801.14869108</v>
      </c>
      <c r="S8" t="n">
        <v>3.253295676510983e-07</v>
      </c>
      <c r="T8" t="n">
        <v>2.565841169035811e-07</v>
      </c>
      <c r="U8" t="n">
        <v>2.338386655001371e-07</v>
      </c>
      <c r="V8" t="n">
        <v>2.29583881231884e-07</v>
      </c>
    </row>
    <row r="9">
      <c r="A9" t="n">
        <v>1800</v>
      </c>
      <c r="B9" t="n">
        <v>180</v>
      </c>
      <c r="C9" t="n">
        <v>4.28927</v>
      </c>
      <c r="D9" t="n">
        <v>4.28927</v>
      </c>
      <c r="E9" t="n">
        <v>5052490</v>
      </c>
      <c r="F9" t="n">
        <v>-37181.3</v>
      </c>
      <c r="G9" t="n">
        <v>2384190</v>
      </c>
      <c r="H9" t="n">
        <v>-6482930</v>
      </c>
      <c r="I9" t="n">
        <v>-17725800</v>
      </c>
      <c r="J9" t="n">
        <v>17233000</v>
      </c>
      <c r="K9" t="inlineStr">
        <is>
          <t>Main Bearing_DW</t>
        </is>
      </c>
      <c r="L9" t="n">
        <v>1165.988609255638</v>
      </c>
      <c r="M9" t="n">
        <v>1130.405619743153</v>
      </c>
      <c r="N9" t="n">
        <v>18.63708494211098</v>
      </c>
      <c r="O9" t="n">
        <v>149522303.9690419</v>
      </c>
      <c r="P9" t="n">
        <v>540344713.5321712</v>
      </c>
      <c r="Q9" t="n">
        <v>179562048.2210189</v>
      </c>
      <c r="R9" t="n">
        <v>348652559.0361657</v>
      </c>
      <c r="S9" t="n">
        <v>2.868648948111499e-08</v>
      </c>
      <c r="T9" t="n">
        <v>7.93802528752717e-09</v>
      </c>
      <c r="U9" t="n">
        <v>2.388739737876254e-08</v>
      </c>
      <c r="V9" t="n">
        <v>1.230241938237165e-08</v>
      </c>
    </row>
    <row r="10">
      <c r="A10" t="n">
        <v>2400</v>
      </c>
      <c r="B10" t="n">
        <v>240</v>
      </c>
      <c r="C10" t="n">
        <v>5.03569</v>
      </c>
      <c r="D10" t="n">
        <v>5.03569</v>
      </c>
      <c r="E10" t="n">
        <v>5028510</v>
      </c>
      <c r="F10" t="n">
        <v>-64664.50000000001</v>
      </c>
      <c r="G10" t="n">
        <v>2932120</v>
      </c>
      <c r="H10" t="n">
        <v>-26227200</v>
      </c>
      <c r="I10" t="n">
        <v>-29064600</v>
      </c>
      <c r="J10" t="n">
        <v>23219700</v>
      </c>
      <c r="K10" t="inlineStr">
        <is>
          <t>Main Bearing_UW</t>
        </is>
      </c>
      <c r="L10" t="n">
        <v>1690.779681890453</v>
      </c>
      <c r="M10" t="n">
        <v>1637.414733386325</v>
      </c>
      <c r="N10" t="n">
        <v>6.113571903532993</v>
      </c>
      <c r="O10" t="n">
        <v>3639955.826573434</v>
      </c>
      <c r="P10" t="n">
        <v>3302369.980762015</v>
      </c>
      <c r="Q10" t="n">
        <v>5304642.180596727</v>
      </c>
      <c r="R10" t="n">
        <v>4349305.603617878</v>
      </c>
      <c r="S10" t="n">
        <v>1.383448107594337e-06</v>
      </c>
      <c r="T10" t="n">
        <v>1.524871540540719e-06</v>
      </c>
      <c r="U10" t="n">
        <v>9.492987139489826e-07</v>
      </c>
      <c r="V10" t="n">
        <v>1.157814708585014e-06</v>
      </c>
    </row>
    <row r="11">
      <c r="A11" t="n">
        <v>2400</v>
      </c>
      <c r="B11" t="n">
        <v>240</v>
      </c>
      <c r="C11" t="n">
        <v>5.03569</v>
      </c>
      <c r="D11" t="n">
        <v>5.03569</v>
      </c>
      <c r="E11" t="n">
        <v>5028510</v>
      </c>
      <c r="F11" t="n">
        <v>-64664.50000000001</v>
      </c>
      <c r="G11" t="n">
        <v>2932120</v>
      </c>
      <c r="H11" t="n">
        <v>-26227200</v>
      </c>
      <c r="I11" t="n">
        <v>-29064600</v>
      </c>
      <c r="J11" t="n">
        <v>23219700</v>
      </c>
      <c r="K11" t="inlineStr">
        <is>
          <t>Main Bearing_DW</t>
        </is>
      </c>
      <c r="L11" t="n">
        <v>1590.023388376872</v>
      </c>
      <c r="M11" t="n">
        <v>1540.955950571734</v>
      </c>
      <c r="N11" t="n">
        <v>8.696561594371207</v>
      </c>
      <c r="O11" t="n">
        <v>11783418.14372041</v>
      </c>
      <c r="P11" t="n">
        <v>15715748.31065551</v>
      </c>
      <c r="Q11" t="n">
        <v>12402223.8910859</v>
      </c>
      <c r="R11" t="n">
        <v>12478160.69843154</v>
      </c>
      <c r="S11" t="n">
        <v>4.273539255401547e-07</v>
      </c>
      <c r="T11" t="n">
        <v>3.20423176832485e-07</v>
      </c>
      <c r="U11" t="n">
        <v>4.060312121618288e-07</v>
      </c>
      <c r="V11" t="n">
        <v>4.035602779689293e-07</v>
      </c>
    </row>
    <row r="12">
      <c r="A12" t="n">
        <v>3000</v>
      </c>
      <c r="B12" t="n">
        <v>300</v>
      </c>
      <c r="C12" t="n">
        <v>5.24514</v>
      </c>
      <c r="D12" t="n">
        <v>5.24514</v>
      </c>
      <c r="E12" t="n">
        <v>4908640</v>
      </c>
      <c r="F12" t="n">
        <v>35250</v>
      </c>
      <c r="G12" t="n">
        <v>3363780</v>
      </c>
      <c r="H12" t="n">
        <v>-11341400</v>
      </c>
      <c r="I12" t="n">
        <v>-31626800</v>
      </c>
      <c r="J12" t="n">
        <v>25408300</v>
      </c>
      <c r="K12" t="inlineStr">
        <is>
          <t>Main Bearing_UW</t>
        </is>
      </c>
      <c r="L12" t="n">
        <v>1638.487195607135</v>
      </c>
      <c r="M12" t="n">
        <v>1587.322122796459</v>
      </c>
      <c r="N12" t="n">
        <v>6.52685176910241</v>
      </c>
      <c r="O12" t="n">
        <v>4526805.800070688</v>
      </c>
      <c r="P12" t="n">
        <v>4475499.584207816</v>
      </c>
      <c r="Q12" t="n">
        <v>6684681.427698519</v>
      </c>
      <c r="R12" t="n">
        <v>5879572.513754179</v>
      </c>
      <c r="S12" t="n">
        <v>1.158684562946812e-06</v>
      </c>
      <c r="T12" t="n">
        <v>1.171967486827152e-06</v>
      </c>
      <c r="U12" t="n">
        <v>7.846507057563487e-07</v>
      </c>
      <c r="V12" t="n">
        <v>8.920954691399689e-07</v>
      </c>
    </row>
    <row r="13">
      <c r="A13" t="n">
        <v>3000</v>
      </c>
      <c r="B13" t="n">
        <v>300</v>
      </c>
      <c r="C13" t="n">
        <v>5.24514</v>
      </c>
      <c r="D13" t="n">
        <v>5.24514</v>
      </c>
      <c r="E13" t="n">
        <v>4908640</v>
      </c>
      <c r="F13" t="n">
        <v>35250</v>
      </c>
      <c r="G13" t="n">
        <v>3363780</v>
      </c>
      <c r="H13" t="n">
        <v>-11341400</v>
      </c>
      <c r="I13" t="n">
        <v>-31626800</v>
      </c>
      <c r="J13" t="n">
        <v>25408300</v>
      </c>
      <c r="K13" t="inlineStr">
        <is>
          <t>Main Bearing_DW</t>
        </is>
      </c>
      <c r="L13" t="n">
        <v>1505.507271724394</v>
      </c>
      <c r="M13" t="n">
        <v>1459.064935757785</v>
      </c>
      <c r="N13" t="n">
        <v>10.22911590506342</v>
      </c>
      <c r="O13" t="n">
        <v>20241360.37262415</v>
      </c>
      <c r="P13" t="n">
        <v>33903980.61206627</v>
      </c>
      <c r="Q13" t="n">
        <v>20648491.09658717</v>
      </c>
      <c r="R13" t="n">
        <v>24138095.2975654</v>
      </c>
      <c r="S13" t="n">
        <v>2.591298165460212e-07</v>
      </c>
      <c r="T13" t="n">
        <v>1.547057279207292e-07</v>
      </c>
      <c r="U13" t="n">
        <v>2.54020498421162e-07</v>
      </c>
      <c r="V13" t="n">
        <v>2.172971783953902e-07</v>
      </c>
    </row>
    <row r="14">
      <c r="A14" t="n">
        <v>3600</v>
      </c>
      <c r="B14" t="n">
        <v>360</v>
      </c>
      <c r="C14" t="n">
        <v>5.47014</v>
      </c>
      <c r="D14" t="n">
        <v>5.47014</v>
      </c>
      <c r="E14" t="n">
        <v>4968980</v>
      </c>
      <c r="F14" t="n">
        <v>83873.5</v>
      </c>
      <c r="G14" t="n">
        <v>3454310</v>
      </c>
      <c r="H14" t="n">
        <v>-10098000</v>
      </c>
      <c r="I14" t="n">
        <v>-23923600</v>
      </c>
      <c r="J14" t="n">
        <v>27428400</v>
      </c>
      <c r="K14" t="inlineStr">
        <is>
          <t>Main Bearing_UW</t>
        </is>
      </c>
      <c r="L14" t="n">
        <v>1531.584559761208</v>
      </c>
      <c r="M14" t="n">
        <v>1484.197319675425</v>
      </c>
      <c r="N14" t="n">
        <v>7.668110681656052</v>
      </c>
      <c r="O14" t="n">
        <v>7745936.659058939</v>
      </c>
      <c r="P14" t="n">
        <v>9324644.186728826</v>
      </c>
      <c r="Q14" t="n">
        <v>11477515.17781353</v>
      </c>
      <c r="R14" t="n">
        <v>11706810.032272</v>
      </c>
      <c r="S14" t="n">
        <v>7.061947755024081e-07</v>
      </c>
      <c r="T14" t="n">
        <v>5.86632571759178e-07</v>
      </c>
      <c r="U14" t="n">
        <v>4.765961896155002e-07</v>
      </c>
      <c r="V14" t="n">
        <v>4.672613619697034e-07</v>
      </c>
    </row>
    <row r="15">
      <c r="A15" t="n">
        <v>3600</v>
      </c>
      <c r="B15" t="n">
        <v>360</v>
      </c>
      <c r="C15" t="n">
        <v>5.47014</v>
      </c>
      <c r="D15" t="n">
        <v>5.47014</v>
      </c>
      <c r="E15" t="n">
        <v>4968980</v>
      </c>
      <c r="F15" t="n">
        <v>83873.5</v>
      </c>
      <c r="G15" t="n">
        <v>3454310</v>
      </c>
      <c r="H15" t="n">
        <v>-10098000</v>
      </c>
      <c r="I15" t="n">
        <v>-23923600</v>
      </c>
      <c r="J15" t="n">
        <v>27428400</v>
      </c>
      <c r="K15" t="inlineStr">
        <is>
          <t>Main Bearing_DW</t>
        </is>
      </c>
      <c r="L15" t="n">
        <v>1372.87226333963</v>
      </c>
      <c r="M15" t="n">
        <v>1330.985030898029</v>
      </c>
      <c r="N15" t="n">
        <v>13.33860296620947</v>
      </c>
      <c r="O15" t="n">
        <v>49032102.61005981</v>
      </c>
      <c r="P15" t="n">
        <v>123358907.7207163</v>
      </c>
      <c r="Q15" t="n">
        <v>48100602.70489657</v>
      </c>
      <c r="R15" t="n">
        <v>72773257.35529211</v>
      </c>
      <c r="S15" t="n">
        <v>1.115624194928508e-07</v>
      </c>
      <c r="T15" t="n">
        <v>4.43432914661044e-08</v>
      </c>
      <c r="U15" t="n">
        <v>1.137228993482684e-07</v>
      </c>
      <c r="V15" t="n">
        <v>7.516689782475716e-08</v>
      </c>
    </row>
    <row r="16">
      <c r="A16" t="n">
        <v>4200</v>
      </c>
      <c r="B16" t="n">
        <v>420</v>
      </c>
      <c r="C16" t="n">
        <v>4.85368</v>
      </c>
      <c r="D16" t="n">
        <v>4.85368</v>
      </c>
      <c r="E16" t="n">
        <v>4872020</v>
      </c>
      <c r="F16" t="n">
        <v>-64125.60000000001</v>
      </c>
      <c r="G16" t="n">
        <v>2669630</v>
      </c>
      <c r="H16" t="n">
        <v>1624870</v>
      </c>
      <c r="I16" t="n">
        <v>-25954500</v>
      </c>
      <c r="J16" t="n">
        <v>22019500</v>
      </c>
      <c r="K16" t="inlineStr">
        <is>
          <t>Main Bearing_UW</t>
        </is>
      </c>
      <c r="L16" t="n">
        <v>1571.552912818953</v>
      </c>
      <c r="M16" t="n">
        <v>1522.770746156029</v>
      </c>
      <c r="N16" t="n">
        <v>7.565498104768382</v>
      </c>
      <c r="O16" t="n">
        <v>7405785.364634727</v>
      </c>
      <c r="P16" t="n">
        <v>8250618.435789404</v>
      </c>
      <c r="Q16" t="n">
        <v>10717765.19063625</v>
      </c>
      <c r="R16" t="n">
        <v>10176148.00989974</v>
      </c>
      <c r="S16" t="n">
        <v>6.553903146016163e-07</v>
      </c>
      <c r="T16" t="n">
        <v>5.882807498339497e-07</v>
      </c>
      <c r="U16" t="n">
        <v>4.528630655428519e-07</v>
      </c>
      <c r="V16" t="n">
        <v>4.76966332965888e-07</v>
      </c>
    </row>
    <row r="17">
      <c r="A17" t="n">
        <v>4200</v>
      </c>
      <c r="B17" t="n">
        <v>420</v>
      </c>
      <c r="C17" t="n">
        <v>4.85368</v>
      </c>
      <c r="D17" t="n">
        <v>4.85368</v>
      </c>
      <c r="E17" t="n">
        <v>4872020</v>
      </c>
      <c r="F17" t="n">
        <v>-64125.60000000001</v>
      </c>
      <c r="G17" t="n">
        <v>2669630</v>
      </c>
      <c r="H17" t="n">
        <v>1624870</v>
      </c>
      <c r="I17" t="n">
        <v>-25954500</v>
      </c>
      <c r="J17" t="n">
        <v>22019500</v>
      </c>
      <c r="K17" t="inlineStr">
        <is>
          <t>Main Bearing_DW</t>
        </is>
      </c>
      <c r="L17" t="n">
        <v>1337.97665132918</v>
      </c>
      <c r="M17" t="n">
        <v>1297.14963227805</v>
      </c>
      <c r="N17" t="n">
        <v>13.36025516655159</v>
      </c>
      <c r="O17" t="n">
        <v>49297913.79004732</v>
      </c>
      <c r="P17" t="n">
        <v>114256660.2409398</v>
      </c>
      <c r="Q17" t="n">
        <v>55537427.76823141</v>
      </c>
      <c r="R17" t="n">
        <v>81579534.88580923</v>
      </c>
      <c r="S17" t="n">
        <v>9.845609330794648e-08</v>
      </c>
      <c r="T17" t="n">
        <v>4.248049951543092e-08</v>
      </c>
      <c r="U17" t="n">
        <v>8.739475692420182e-08</v>
      </c>
      <c r="V17" t="n">
        <v>5.949629409868453e-08</v>
      </c>
    </row>
    <row r="18">
      <c r="A18" t="n">
        <v>4800</v>
      </c>
      <c r="B18" t="n">
        <v>480</v>
      </c>
      <c r="C18" t="n">
        <v>4.28177</v>
      </c>
      <c r="D18" t="n">
        <v>4.28177</v>
      </c>
      <c r="E18" t="n">
        <v>4959240</v>
      </c>
      <c r="F18" t="n">
        <v>-674.75</v>
      </c>
      <c r="G18" t="n">
        <v>2339680</v>
      </c>
      <c r="H18" t="n">
        <v>8634620</v>
      </c>
      <c r="I18" t="n">
        <v>-16032700</v>
      </c>
      <c r="J18" t="n">
        <v>16985500</v>
      </c>
      <c r="K18" t="inlineStr">
        <is>
          <t>Main Bearing_UW</t>
        </is>
      </c>
      <c r="L18" t="n">
        <v>1455.950616979803</v>
      </c>
      <c r="M18" t="n">
        <v>1411.03088639089</v>
      </c>
      <c r="N18" t="n">
        <v>9.388069871610188</v>
      </c>
      <c r="O18" t="n">
        <v>15206656.73131491</v>
      </c>
      <c r="P18" t="n">
        <v>20262484.25005362</v>
      </c>
      <c r="Q18" t="n">
        <v>21714640.71488413</v>
      </c>
      <c r="R18" t="n">
        <v>23032632.71140837</v>
      </c>
      <c r="S18" t="n">
        <v>2.815720822567524e-07</v>
      </c>
      <c r="T18" t="n">
        <v>2.113151550007334e-07</v>
      </c>
      <c r="U18" t="n">
        <v>1.971835526187221e-07</v>
      </c>
      <c r="V18" t="n">
        <v>1.859001553860225e-07</v>
      </c>
    </row>
    <row r="19">
      <c r="A19" t="n">
        <v>4800</v>
      </c>
      <c r="B19" t="n">
        <v>480</v>
      </c>
      <c r="C19" t="n">
        <v>4.28177</v>
      </c>
      <c r="D19" t="n">
        <v>4.28177</v>
      </c>
      <c r="E19" t="n">
        <v>4959240</v>
      </c>
      <c r="F19" t="n">
        <v>-674.75</v>
      </c>
      <c r="G19" t="n">
        <v>2339680</v>
      </c>
      <c r="H19" t="n">
        <v>8634620</v>
      </c>
      <c r="I19" t="n">
        <v>-16032700</v>
      </c>
      <c r="J19" t="n">
        <v>16985500</v>
      </c>
      <c r="K19" t="inlineStr">
        <is>
          <t>Main Bearing_DW</t>
        </is>
      </c>
      <c r="L19" t="n">
        <v>1159.737939410615</v>
      </c>
      <c r="M19" t="n">
        <v>1124.348360179271</v>
      </c>
      <c r="N19" t="n">
        <v>19.27530909248283</v>
      </c>
      <c r="O19" t="n">
        <v>167282509.5247781</v>
      </c>
      <c r="P19" t="n">
        <v>640741445.6542807</v>
      </c>
      <c r="Q19" t="n">
        <v>193477684.0212106</v>
      </c>
      <c r="R19" t="n">
        <v>384669631.4122598</v>
      </c>
      <c r="S19" t="n">
        <v>2.559604116511523e-08</v>
      </c>
      <c r="T19" t="n">
        <v>6.682523862066943e-09</v>
      </c>
      <c r="U19" t="n">
        <v>2.213056261067606e-08</v>
      </c>
      <c r="V19" t="n">
        <v>1.113103206062847e-08</v>
      </c>
    </row>
    <row r="20">
      <c r="A20" t="n">
        <v>5400</v>
      </c>
      <c r="B20" t="n">
        <v>540</v>
      </c>
      <c r="C20" t="n">
        <v>4.16866</v>
      </c>
      <c r="D20" t="n">
        <v>4.16866</v>
      </c>
      <c r="E20" t="n">
        <v>4980170</v>
      </c>
      <c r="F20" t="n">
        <v>80043.3</v>
      </c>
      <c r="G20" t="n">
        <v>2204670</v>
      </c>
      <c r="H20" t="n">
        <v>-11314200</v>
      </c>
      <c r="I20" t="n">
        <v>-19584100</v>
      </c>
      <c r="J20" t="n">
        <v>16319200</v>
      </c>
      <c r="K20" t="inlineStr">
        <is>
          <t>Main Bearing_UW</t>
        </is>
      </c>
      <c r="L20" t="n">
        <v>1532.863056103114</v>
      </c>
      <c r="M20" t="n">
        <v>1485.560982121356</v>
      </c>
      <c r="N20" t="n">
        <v>8.412209067739608</v>
      </c>
      <c r="O20" t="n">
        <v>10547419.60641137</v>
      </c>
      <c r="P20" t="n">
        <v>12189921.34315368</v>
      </c>
      <c r="Q20" t="n">
        <v>14354749.15384884</v>
      </c>
      <c r="R20" t="n">
        <v>13584350.11982744</v>
      </c>
      <c r="S20" t="n">
        <v>3.952303175144403e-07</v>
      </c>
      <c r="T20" t="n">
        <v>3.419759555988666e-07</v>
      </c>
      <c r="U20" t="n">
        <v>2.904028454500917e-07</v>
      </c>
      <c r="V20" t="n">
        <v>3.068722436648263e-07</v>
      </c>
    </row>
    <row r="21">
      <c r="A21" t="n">
        <v>5400</v>
      </c>
      <c r="B21" t="n">
        <v>540</v>
      </c>
      <c r="C21" t="n">
        <v>4.16866</v>
      </c>
      <c r="D21" t="n">
        <v>4.16866</v>
      </c>
      <c r="E21" t="n">
        <v>4980170</v>
      </c>
      <c r="F21" t="n">
        <v>80043.3</v>
      </c>
      <c r="G21" t="n">
        <v>2204670</v>
      </c>
      <c r="H21" t="n">
        <v>-11314200</v>
      </c>
      <c r="I21" t="n">
        <v>-19584100</v>
      </c>
      <c r="J21" t="n">
        <v>16319200</v>
      </c>
      <c r="K21" t="inlineStr">
        <is>
          <t>Main Bearing_DW</t>
        </is>
      </c>
      <c r="L21" t="n">
        <v>1245.954331110375</v>
      </c>
      <c r="M21" t="n">
        <v>1207.932820060753</v>
      </c>
      <c r="N21" t="n">
        <v>15.35434203320914</v>
      </c>
      <c r="O21" t="n">
        <v>78382070.99742797</v>
      </c>
      <c r="P21" t="n">
        <v>200942723.7730635</v>
      </c>
      <c r="Q21" t="n">
        <v>97670211.56833762</v>
      </c>
      <c r="R21" t="n">
        <v>154123047.5037546</v>
      </c>
      <c r="S21" t="n">
        <v>5.318384608817991e-08</v>
      </c>
      <c r="T21" t="n">
        <v>2.074551355593206e-08</v>
      </c>
      <c r="U21" t="n">
        <v>4.268097645189684e-08</v>
      </c>
      <c r="V21" t="n">
        <v>2.704760947513997e-08</v>
      </c>
    </row>
    <row r="22">
      <c r="A22" t="n">
        <v>6000</v>
      </c>
      <c r="B22" t="n">
        <v>600</v>
      </c>
      <c r="C22" t="n">
        <v>5.1446</v>
      </c>
      <c r="D22" t="n">
        <v>2.5723</v>
      </c>
      <c r="E22" t="n">
        <v>5007020</v>
      </c>
      <c r="F22" t="n">
        <v>47610.7</v>
      </c>
      <c r="G22" t="n">
        <v>2896380</v>
      </c>
      <c r="H22" t="n">
        <v>-15051700</v>
      </c>
      <c r="I22" t="n">
        <v>-19950600</v>
      </c>
      <c r="J22" t="n">
        <v>24657000</v>
      </c>
      <c r="K22" t="inlineStr">
        <is>
          <t>Main Bearing_UW</t>
        </is>
      </c>
      <c r="L22" t="n">
        <v>1507.244609579646</v>
      </c>
      <c r="M22" t="n">
        <v>1460.731232440256</v>
      </c>
      <c r="N22" t="n">
        <v>8.072500292428046</v>
      </c>
      <c r="O22" t="n">
        <v>9193331.697039975</v>
      </c>
      <c r="P22" t="n">
        <v>11365003.39461267</v>
      </c>
      <c r="Q22" t="n">
        <v>13937983.60121766</v>
      </c>
      <c r="R22" t="n">
        <v>14489823.23069147</v>
      </c>
      <c r="S22" t="n">
        <v>2.7980062993139e-07</v>
      </c>
      <c r="T22" t="n">
        <v>2.263351721671585e-07</v>
      </c>
      <c r="U22" t="n">
        <v>1.845532376559315e-07</v>
      </c>
      <c r="V22" t="n">
        <v>1.775245949551344e-07</v>
      </c>
    </row>
    <row r="23">
      <c r="A23" t="n">
        <v>6000</v>
      </c>
      <c r="B23" t="n">
        <v>600</v>
      </c>
      <c r="C23" t="n">
        <v>5.1446</v>
      </c>
      <c r="D23" t="n">
        <v>2.5723</v>
      </c>
      <c r="E23" t="n">
        <v>5007020</v>
      </c>
      <c r="F23" t="n">
        <v>47610.7</v>
      </c>
      <c r="G23" t="n">
        <v>2896380</v>
      </c>
      <c r="H23" t="n">
        <v>-15051700</v>
      </c>
      <c r="I23" t="n">
        <v>-19950600</v>
      </c>
      <c r="J23" t="n">
        <v>24657000</v>
      </c>
      <c r="K23" t="inlineStr">
        <is>
          <t>Main Bearing_DW</t>
        </is>
      </c>
      <c r="L23" t="n">
        <v>1344.480255357309</v>
      </c>
      <c r="M23" t="n">
        <v>1303.459491943067</v>
      </c>
      <c r="N23" t="n">
        <v>13.80315741740974</v>
      </c>
      <c r="O23" t="n">
        <v>54959254.71431586</v>
      </c>
      <c r="P23" t="n">
        <v>139549236.9762965</v>
      </c>
      <c r="Q23" t="n">
        <v>56290289.10850073</v>
      </c>
      <c r="R23" t="n">
        <v>86014301.5682396</v>
      </c>
      <c r="S23" t="n">
        <v>4.680376423172208e-08</v>
      </c>
      <c r="T23" t="n">
        <v>1.843292056435195e-08</v>
      </c>
      <c r="U23" t="n">
        <v>4.569704723032843e-08</v>
      </c>
      <c r="V23" t="n">
        <v>2.990549191356581e-08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>
        <f>== (a) 베어링 손상 ===</f>
        <v/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6.038035096125826e-06</v>
      </c>
      <c r="E3" t="n">
        <v>45040</v>
      </c>
      <c r="F3" t="n">
        <v>0.2719531007295072</v>
      </c>
      <c r="G3" t="n">
        <v>3.677104608542892</v>
      </c>
      <c r="H3" t="n">
        <v>110.3131382562867</v>
      </c>
      <c r="I3" t="inlineStr">
        <is>
          <t>11점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5.589305608419937e-06</v>
      </c>
      <c r="E4" t="n">
        <v>45040</v>
      </c>
      <c r="F4" t="n">
        <v>0.251742324603234</v>
      </c>
      <c r="G4" t="n">
        <v>3.972315746174506</v>
      </c>
      <c r="H4" t="n">
        <v>119.1694723852352</v>
      </c>
      <c r="I4" t="inlineStr">
        <is>
          <t>11점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4.154066822376838e-06</v>
      </c>
      <c r="E5" t="n">
        <v>45040</v>
      </c>
      <c r="F5" t="n">
        <v>0.1870991696798528</v>
      </c>
      <c r="G5" t="n">
        <v>5.344759154789996</v>
      </c>
      <c r="H5" t="n">
        <v>160.3427746436999</v>
      </c>
      <c r="I5" t="inlineStr">
        <is>
          <t>11점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4.46446842658846e-06</v>
      </c>
      <c r="E6" t="n">
        <v>45040</v>
      </c>
      <c r="F6" t="n">
        <v>0.2010796579335442</v>
      </c>
      <c r="G6" t="n">
        <v>4.973153476969285</v>
      </c>
      <c r="H6" t="n">
        <v>149.1946043090786</v>
      </c>
      <c r="I6" t="inlineStr">
        <is>
          <t>11점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1.155446766952638e-06</v>
      </c>
      <c r="E7" t="n">
        <v>45040</v>
      </c>
      <c r="F7" t="n">
        <v>0.0520413223835468</v>
      </c>
      <c r="G7" t="n">
        <v>19.21549941851893</v>
      </c>
      <c r="H7" t="n">
        <v>576.4649825555681</v>
      </c>
      <c r="I7" t="inlineStr">
        <is>
          <t>11점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6.552962811587725e-07</v>
      </c>
      <c r="E8" t="n">
        <v>45040</v>
      </c>
      <c r="F8" t="n">
        <v>0.02951454450339111</v>
      </c>
      <c r="G8" t="n">
        <v>33.88160030337259</v>
      </c>
      <c r="H8" t="n">
        <v>1016.448009101177</v>
      </c>
      <c r="I8" t="inlineStr">
        <is>
          <t>11점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1.089002689662987e-06</v>
      </c>
      <c r="E9" t="n">
        <v>45040</v>
      </c>
      <c r="F9" t="n">
        <v>0.04904868114242095</v>
      </c>
      <c r="G9" t="n">
        <v>20.38790802746225</v>
      </c>
      <c r="H9" t="n">
        <v>611.6372408238673</v>
      </c>
      <c r="I9" t="inlineStr">
        <is>
          <t>11점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8.935622736440023e-07</v>
      </c>
      <c r="E10" t="n">
        <v>45040</v>
      </c>
      <c r="F10" t="n">
        <v>0.04024604480492586</v>
      </c>
      <c r="G10" t="n">
        <v>24.84716212107397</v>
      </c>
      <c r="H10" t="n">
        <v>745.4148636322193</v>
      </c>
      <c r="I10" t="inlineStr">
        <is>
          <t>11점 표본(1 DLC)</t>
        </is>
      </c>
    </row>
    <row r="12">
      <c r="A12" s="2">
        <f>== (b) 샤프트 임계점 (DIN743 무한수명 피로 SF 최소) ===</f>
        <v/>
      </c>
    </row>
    <row r="13">
      <c r="A13" s="1" t="inlineStr">
        <is>
          <t>min_shaft_DIN743_SF_inf</t>
        </is>
      </c>
      <c r="B13" s="1" t="inlineStr">
        <is>
          <t>crit_index</t>
        </is>
      </c>
      <c r="C13" s="1" t="inlineStr">
        <is>
          <t>crit_t_s</t>
        </is>
      </c>
      <c r="D13" s="1" t="inlineStr">
        <is>
          <t>crit_rpm</t>
        </is>
      </c>
      <c r="E13" s="1" t="inlineStr">
        <is>
          <t>crit_force_x_N</t>
        </is>
      </c>
      <c r="F13" s="1" t="inlineStr">
        <is>
          <t>crit_force_y_N</t>
        </is>
      </c>
      <c r="G13" s="1" t="inlineStr">
        <is>
          <t>crit_axial_load_N</t>
        </is>
      </c>
      <c r="H13" s="1" t="inlineStr">
        <is>
          <t>crit_moment_x_Nm</t>
        </is>
      </c>
      <c r="I13" s="1" t="inlineStr">
        <is>
          <t>crit_moment_y_Nm</t>
        </is>
      </c>
      <c r="J13" s="1" t="inlineStr">
        <is>
          <t>crit_Moment_z_Nm</t>
        </is>
      </c>
      <c r="K13" s="1" t="inlineStr">
        <is>
          <t>crit_shaft_SF_offset_m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2026-07-21T15:20:02Z</dcterms:created>
  <dcterms:modified xmlns:dcterms="http://purl.org/dc/terms/" xmlns:xsi="http://www.w3.org/2001/XMLSchema-instance" xsi:type="dcterms:W3CDTF">2026-07-21T15:20:02Z</dcterms:modified>
</cp:coreProperties>
</file>